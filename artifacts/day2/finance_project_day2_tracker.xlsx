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21be91a4a64162" /></Relationships>
</file>

<file path=xl/workbook.xml><?xml version="1.0" encoding="utf-8"?>
<x:workbook xmlns:x="http://schemas.openxmlformats.org/spreadsheetml/2006/main">
  <x:sheets>
    <x:sheet xmlns:r="http://schemas.openxmlformats.org/officeDocument/2006/relationships" name="Dashboard" sheetId="1" r:id="Rb1a407c095e54e35"/>
    <x:sheet xmlns:r="http://schemas.openxmlformats.org/officeDocument/2006/relationships" name="Day1_Checklist" sheetId="2" r:id="Rdba0753a7c954f38"/>
    <x:sheet xmlns:r="http://schemas.openxmlformats.org/officeDocument/2006/relationships" name="Decision_Matrix" sheetId="3" r:id="Rea0c9bf781654078"/>
    <x:sheet xmlns:r="http://schemas.openxmlformats.org/officeDocument/2006/relationships" name="BDC_Universe" sheetId="4" r:id="R9d24bee5f2294629"/>
    <x:sheet xmlns:r="http://schemas.openxmlformats.org/officeDocument/2006/relationships" name="BDC_Filing_Calendar" sheetId="5" r:id="Rafa7b1be9093401f"/>
    <x:sheet xmlns:r="http://schemas.openxmlformats.org/officeDocument/2006/relationships" name="BDC_Window_Summary" sheetId="6" r:id="R7a7d6db6982844dd"/>
    <x:sheet xmlns:r="http://schemas.openxmlformats.org/officeDocument/2006/relationships" name="BDC_Candidate_Windows" sheetId="7" r:id="R16f6b4f4d3634b94"/>
    <x:sheet xmlns:r="http://schemas.openxmlformats.org/officeDocument/2006/relationships" name="BDC_Facility_Schema" sheetId="8" r:id="R37a4e3a2b3174b90"/>
    <x:sheet xmlns:r="http://schemas.openxmlformats.org/officeDocument/2006/relationships" name="Japan_Archive_Test" sheetId="9" r:id="R6185556666bb4da1"/>
    <x:sheet xmlns:r="http://schemas.openxmlformats.org/officeDocument/2006/relationships" name="Japan_Event_Sample" sheetId="10" r:id="R1be651ee0dbc4125"/>
    <x:sheet xmlns:r="http://schemas.openxmlformats.org/officeDocument/2006/relationships" name="Japan_Data_Schema" sheetId="11" r:id="Rd805ccd288984783"/>
    <x:sheet xmlns:r="http://schemas.openxmlformats.org/officeDocument/2006/relationships" name="Sources" sheetId="12" r:id="Rb1616925e13544ef"/>
    <x:sheet xmlns:r="http://schemas.openxmlformats.org/officeDocument/2006/relationships" name="Lists" sheetId="13" r:id="Rf6bffa143dc04aab"/>
    <x:sheet xmlns:r="http://schemas.openxmlformats.org/officeDocument/2006/relationships" name="Day1_Reconciliation" sheetId="14" r:id="R39389f9e37024917"/>
    <x:sheet xmlns:r="http://schemas.openxmlformats.org/officeDocument/2006/relationships" name="Day2_Dashboard" sheetId="15" r:id="R4350bda5be3b41ab"/>
    <x:sheet xmlns:r="http://schemas.openxmlformats.org/officeDocument/2006/relationships" name="BDC_Illustrative_Cases" sheetId="16" r:id="Rc3c0451a906d4169"/>
    <x:sheet xmlns:r="http://schemas.openxmlformats.org/officeDocument/2006/relationships" name="Japan_Numeric_Recovery" sheetId="17" r:id="Re93c5f5a2b794f13"/>
    <x:sheet xmlns:r="http://schemas.openxmlformats.org/officeDocument/2006/relationships" name="Day2_Decision_Log" sheetId="18" r:id="R64448f041ad54d73"/>
    <x:sheet xmlns:r="http://schemas.openxmlformats.org/officeDocument/2006/relationships" name="Day2_Sources" sheetId="19" r:id="Rd231090e882b47ea"/>
  </x:sheets>
</x:workbook>
</file>

<file path=xl/sharedStrings.xml><?xml version="1.0" encoding="utf-8"?>
<x:sst xmlns:x="http://schemas.openxmlformats.org/spreadsheetml/2006/main"/>
</file>

<file path=xl/styles.xml><?xml version="1.0" encoding="utf-8"?>
<x:styleSheet xmlns:x="http://schemas.openxmlformats.org/spreadsheetml/2006/main">
  <x:numFmts count="14">
    <x:numFmt numFmtId="200" formatCode="0"/>
    <x:numFmt numFmtId="201" formatCode="yyyy-mm-dd"/>
    <x:numFmt numFmtId="202" formatCode="0;[Red](0);-"/>
    <x:numFmt numFmtId="203" formatCode="0.00"/>
    <x:numFmt numFmtId="204" formatCode="0.000;[Red](0.000);-"/>
    <x:numFmt numFmtId="205" formatCode="0.0%;[Red](0.0%);-"/>
    <x:numFmt numFmtId="206" formatCode="yyyy-mm-dd hh:mm"/>
    <x:numFmt numFmtId="207" formatCode="0.0"/>
    <x:numFmt numFmtId="208" formatCode="yyyy-mm-dd hh:mm:ss"/>
    <x:numFmt numFmtId="209" formatCode="$0.000"/>
    <x:numFmt numFmtId="210" formatCode="0.00%"/>
    <x:numFmt numFmtId="211" formatCode="0.000"/>
    <x:numFmt numFmtId="212" formatCode="0.0%"/>
    <x:numFmt numFmtId="213" formatCode="#,##0;[Red](#,##0);-"/>
  </x:numFmts>
  <x:fonts count="19">
    <x:font>
      <x:sz val="11"/>
      <x:name val="Carlito"/>
    </x:font>
    <x:font>
      <x:b/>
      <x:sz val="10"/>
      <x:color rgb="FFFFFFFF"/>
      <x:name val="Carlito"/>
    </x:font>
    <x:font>
      <x:b/>
      <x:sz val="16"/>
      <x:color rgb="FFFFFFFF"/>
      <x:name val="Carlito"/>
    </x:font>
    <x:font>
      <x:i/>
      <x:sz val="11"/>
      <x:color rgb="FF475569"/>
      <x:name val="Carlito"/>
    </x:font>
    <x:font>
      <x:sz val="11"/>
      <x:color rgb="FF0000FF"/>
      <x:name val="Carlito"/>
    </x:font>
    <x:font>
      <x:b/>
      <x:sz val="11"/>
      <x:color rgb="FFFFFFFF"/>
      <x:name val="Carlito"/>
    </x:font>
    <x:font>
      <x:b/>
      <x:sz val="11"/>
      <x:color rgb="FF0B1F33"/>
      <x:name val="Carlito"/>
    </x:font>
    <x:font>
      <x:b/>
      <x:sz val="11"/>
      <x:color rgb="FF008000"/>
      <x:name val="Carlito"/>
    </x:font>
    <x:font>
      <x:b/>
      <x:sz val="18"/>
      <x:color rgb="FF008000"/>
      <x:name val="Carlito"/>
    </x:font>
    <x:font>
      <x:i/>
      <x:sz val="9"/>
      <x:color rgb="FF475569"/>
      <x:name val="Carlito"/>
    </x:font>
    <x:font>
      <x:b/>
      <x:sz val="11"/>
      <x:color rgb="FF15803D"/>
      <x:name val="Carlito"/>
    </x:font>
    <x:font>
      <x:b/>
      <x:sz val="14"/>
      <x:color rgb="FFFFFFFF"/>
      <x:name val="Carlito"/>
    </x:font>
    <x:font>
      <x:i/>
      <x:sz val="11"/>
      <x:color rgb="FF1F1F1F"/>
      <x:name val="Carlito"/>
    </x:font>
    <x:font>
      <x:b/>
      <x:sz val="11"/>
      <x:color rgb="FFB91C1C"/>
      <x:name val="Carlito"/>
    </x:font>
    <x:font>
      <x:b/>
      <x:sz val="11"/>
      <x:color rgb="FF1D4ED8"/>
      <x:name val="Carlito"/>
    </x:font>
    <x:font>
      <x:sz val="11"/>
      <x:color rgb="FF172554"/>
      <x:name val="Carlito"/>
    </x:font>
    <x:font>
      <x:b/>
      <x:sz val="11"/>
      <x:color rgb="FFB45309"/>
      <x:name val="Carlito"/>
    </x:font>
    <x:font>
      <x:sz val="11"/>
      <x:color rgb="FF475569"/>
      <x:name val="Carlito"/>
    </x:font>
    <x:font>
      <x:b/>
      <x:sz val="11"/>
      <x:name val="Carlito"/>
    </x:font>
  </x:fonts>
  <x:fills count="19">
    <x:fill>
      <x:patternFill patternType="none"/>
    </x:fill>
    <x:fill>
      <x:patternFill patternType="gray125"/>
    </x:fill>
    <x:fill>
      <x:patternFill patternType="solid">
        <x:fgColor rgb="FF0F766E"/>
      </x:patternFill>
    </x:fill>
    <x:fill>
      <x:patternFill patternType="solid">
        <x:fgColor rgb="FF0B1F33"/>
      </x:patternFill>
    </x:fill>
    <x:fill>
      <x:patternFill patternType="solid">
        <x:fgColor rgb="FFF8FAFC"/>
      </x:patternFill>
    </x:fill>
    <x:fill>
      <x:patternFill patternType="solid">
        <x:fgColor rgb="FF1F4E78"/>
      </x:patternFill>
    </x:fill>
    <x:fill>
      <x:patternFill patternType="solid">
        <x:fgColor rgb="FFFFF2CC"/>
      </x:patternFill>
    </x:fill>
    <x:fill>
      <x:patternFill patternType="solid">
        <x:fgColor rgb="FFE2E8F0"/>
      </x:patternFill>
    </x:fill>
    <x:fill>
      <x:patternFill patternType="solid">
        <x:fgColor rgb="FFDCFCE7"/>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172554"/>
      </x:patternFill>
    </x:fill>
    <x:fill>
      <x:patternFill patternType="solid">
        <x:fgColor rgb="FFFEE2E2"/>
      </x:patternFill>
    </x:fill>
    <x:fill>
      <x:patternFill patternType="solid">
        <x:fgColor rgb="FF1D4ED8"/>
      </x:patternFill>
    </x:fill>
    <x:fill>
      <x:patternFill patternType="solid">
        <x:fgColor rgb="FFEFF6FF"/>
      </x:patternFill>
    </x:fill>
    <x:fill>
      <x:patternFill patternType="solid">
        <x:fgColor rgb="FFFEF3C7"/>
      </x:patternFill>
    </x:fill>
    <x:fill>
      <x:patternFill patternType="solid">
        <x:fgColor rgb="FFF1F5F9"/>
      </x:patternFill>
    </x:fill>
    <x:fill>
      <x:patternFill patternType="solid">
        <x:fgColor rgb="FFDCFCE7"/>
      </x:patternFill>
    </x:fill>
  </x:fills>
  <x:borders count="11">
    <x:border/>
    <x:border/>
    <x:border/>
    <x:border/>
    <x:border/>
    <x:border/>
    <x:border/>
    <x:border/>
    <x:border/>
    <x:border/>
    <x:border/>
  </x:borders>
  <x:cellStyleXfs count="1">
    <x:xf numFmtId="0" fontId="0" fillId="0" borderId="0"/>
  </x:cellStyleXfs>
  <x:cellXfs count="2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0" borderId="0" xfId="0" applyNumberFormat="1" applyFont="1" applyFill="1" applyBorder="1" applyAlignment="1">
      <x:alignment wrapText="1"/>
    </x:xf>
    <x:xf numFmtId="20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200" fontId="4" fillId="0" borderId="1" xfId="0" applyNumberFormat="1" applyFont="1" applyFill="1" applyBorder="1" applyAlignment="1">
      <x:alignment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202" fontId="0" fillId="0" borderId="1"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left"/>
    </x:xf>
    <x:xf numFmtId="0" fontId="5" fillId="5" borderId="1" xfId="0" applyNumberFormat="1" applyFont="1" applyFill="1" applyBorder="1" applyAlignment="1">
      <x:alignment horizontal="left" vertical="center"/>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6" fontId="0" fillId="0" borderId="0" xfId="0" applyNumberFormat="1" applyFont="1" applyFill="1" applyBorder="1" applyAlignment="1">
      <x:alignment wrapText="1"/>
    </x:xf>
    <x:xf numFmtId="206" fontId="0" fillId="0" borderId="1" xfId="0" applyNumberFormat="1" applyFont="1" applyFill="1" applyBorder="1" applyAlignment="1">
      <x:alignment wrapText="1"/>
    </x:xf>
    <x:xf numFmtId="207" fontId="0" fillId="0" borderId="0" xfId="0" applyNumberFormat="1" applyFont="1" applyFill="1" applyBorder="1"/>
    <x:xf numFmtId="207" fontId="0" fillId="0" borderId="1" xfId="0" applyNumberFormat="1" applyFont="1" applyFill="1" applyBorder="1"/>
    <x:xf numFmtId="207" fontId="0" fillId="0" borderId="0" xfId="0" applyNumberFormat="1" applyFont="1" applyFill="1" applyBorder="1" applyAlignment="1">
      <x:alignment wrapText="1"/>
    </x:xf>
    <x:xf numFmtId="207" fontId="0" fillId="0" borderId="1"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left"/>
    </x:xf>
    <x:xf numFmtId="0" fontId="6" fillId="7" borderId="0" xfId="0" applyNumberFormat="1" applyFont="1" applyFill="1" applyBorder="1" applyAlignment="1">
      <x:alignment horizontal="left"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left"/>
    </x:xf>
    <x:xf numFmtId="0" fontId="6" fillId="7" borderId="1" xfId="0" applyNumberFormat="1" applyFont="1" applyFill="1" applyBorder="1" applyAlignment="1">
      <x:alignment horizontal="left" vertical="center"/>
    </x:xf>
    <x:xf numFmtId="207" fontId="6" fillId="7" borderId="0" xfId="0" applyNumberFormat="1" applyFont="1" applyFill="1" applyBorder="1" applyAlignment="1">
      <x:alignment horizontal="left" vertical="center"/>
    </x:xf>
    <x:xf numFmtId="207" fontId="6" fillId="7" borderId="1" xfId="0" applyNumberFormat="1" applyFont="1" applyFill="1" applyBorder="1" applyAlignment="1">
      <x:alignment horizontal="left" vertical="center"/>
    </x:xf>
    <x:xf numFmtId="207" fontId="7" fillId="7" borderId="0" xfId="0" applyNumberFormat="1" applyFont="1" applyFill="1" applyBorder="1" applyAlignment="1">
      <x:alignment horizontal="left" vertical="center"/>
    </x:xf>
    <x:xf numFmtId="207" fontId="7" fillId="7" borderId="1" xfId="0" applyNumberFormat="1" applyFont="1" applyFill="1" applyBorder="1" applyAlignment="1">
      <x:alignment horizontal="left" vertical="center"/>
    </x:xf>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8" fillId="4" borderId="0" xfId="0" applyNumberFormat="1" applyFont="1" applyFill="1" applyBorder="1"/>
    <x:xf numFmtId="0" fontId="8" fillId="4" borderId="0" xfId="0" applyNumberFormat="1" applyFont="1" applyFill="1" applyBorder="1" applyAlignment="1">
      <x:alignment horizontal="center"/>
    </x:xf>
    <x:xf numFmtId="0" fontId="8" fillId="4" borderId="0" xfId="0" applyNumberFormat="1" applyFont="1" applyFill="1" applyBorder="1" applyAlignment="1">
      <x:alignment horizontal="center" vertical="center"/>
    </x:xf>
    <x:xf numFmtId="0" fontId="8" fillId="4" borderId="1" xfId="0" applyNumberFormat="1" applyFont="1" applyFill="1" applyBorder="1"/>
    <x:xf numFmtId="0" fontId="8" fillId="4" borderId="1" xfId="0" applyNumberFormat="1" applyFont="1" applyFill="1" applyBorder="1" applyAlignment="1">
      <x:alignment horizontal="center"/>
    </x:xf>
    <x:xf numFmtId="0" fontId="8" fillId="4" borderId="1"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center"/>
    </x:xf>
    <x:xf numFmtId="0" fontId="9" fillId="4" borderId="0" xfId="0" applyNumberFormat="1" applyFont="1" applyFill="1" applyBorder="1" applyAlignment="1">
      <x:alignment horizontal="center" vertical="center"/>
    </x:xf>
    <x:xf numFmtId="0" fontId="9" fillId="4" borderId="1" xfId="0" applyNumberFormat="1" applyFont="1" applyFill="1" applyBorder="1"/>
    <x:xf numFmtId="0" fontId="9" fillId="4" borderId="1" xfId="0" applyNumberFormat="1" applyFont="1" applyFill="1" applyBorder="1" applyAlignment="1">
      <x:alignment horizontal="center"/>
    </x:xf>
    <x:xf numFmtId="0" fontId="9" fillId="4" borderId="1" xfId="0" applyNumberFormat="1" applyFont="1" applyFill="1" applyBorder="1" applyAlignment="1">
      <x:alignment horizontal="center" vertical="center"/>
    </x:xf>
    <x:xf numFmtId="207" fontId="7" fillId="0" borderId="0" xfId="0" applyNumberFormat="1" applyFont="1" applyFill="1" applyBorder="1"/>
    <x:xf numFmtId="207" fontId="7" fillId="0" borderId="1" xfId="0" applyNumberFormat="1" applyFont="1" applyFill="1" applyBorder="1"/>
    <x:xf numFmtId="0" fontId="0" fillId="8" borderId="0" xfId="0" applyNumberFormat="1" applyFont="1" applyFill="1" applyBorder="1"/>
    <x:xf numFmtId="0" fontId="0" fillId="8" borderId="1" xfId="0" applyNumberFormat="1" applyFont="1" applyFill="1" applyBorder="1"/>
    <x:xf numFmtId="0" fontId="10" fillId="8" borderId="0" xfId="0" applyNumberFormat="1" applyFont="1" applyFill="1" applyBorder="1"/>
    <x:xf numFmtId="0" fontId="10" fillId="8" borderId="1" xfId="0" applyNumberFormat="1" applyFont="1" applyFill="1" applyBorder="1"/>
    <x:xf numFmtId="0" fontId="2" fillId="3" borderId="0"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horizontal="left" wrapText="1"/>
    </x:xf>
    <x:xf numFmtId="0" fontId="6" fillId="7" borderId="0" xfId="0" applyNumberFormat="1" applyFont="1" applyFill="1" applyBorder="1" applyAlignment="1">
      <x:alignment horizontal="left" vertical="center" wrapText="1"/>
    </x:xf>
    <x:xf numFmtId="0" fontId="0" fillId="7" borderId="1" xfId="0" applyNumberFormat="1" applyFont="1" applyFill="1" applyBorder="1" applyAlignment="1">
      <x:alignment wrapText="1"/>
    </x:xf>
    <x:xf numFmtId="0" fontId="6" fillId="7" borderId="1" xfId="0" applyNumberFormat="1" applyFont="1" applyFill="1" applyBorder="1" applyAlignment="1">
      <x:alignment wrapText="1"/>
    </x:xf>
    <x:xf numFmtId="0" fontId="6" fillId="7" borderId="1" xfId="0" applyNumberFormat="1" applyFont="1" applyFill="1" applyBorder="1" applyAlignment="1">
      <x:alignment horizontal="left" wrapText="1"/>
    </x:xf>
    <x:xf numFmtId="0" fontId="6" fillId="7" borderId="1" xfId="0" applyNumberFormat="1" applyFont="1" applyFill="1" applyBorder="1" applyAlignment="1">
      <x:alignment horizontal="lef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horizontal="center"/>
    </x:xf>
    <x:xf numFmtId="0" fontId="11" fillId="9" borderId="0" xfId="0" applyNumberFormat="1" applyFont="1" applyFill="1" applyBorder="1" applyAlignment="1">
      <x:alignment horizontal="center" vertical="center"/>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1" borderId="0" xfId="0" applyNumberFormat="1" applyFont="1" applyFill="1" applyBorder="1" applyAlignment="1">
      <x:alignment horizontal="center" wrapText="1"/>
    </x:xf>
    <x:xf numFmtId="0" fontId="5" fillId="11" borderId="0" xfId="0" applyNumberFormat="1" applyFont="1" applyFill="1" applyBorder="1" applyAlignment="1">
      <x:alignment horizontal="center" vertical="center"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11" fillId="5" borderId="0" xfId="0" applyNumberFormat="1" applyFont="1" applyFill="1" applyBorder="1"/>
    <x:xf numFmtId="0" fontId="11" fillId="5" borderId="0" xfId="0" applyNumberFormat="1" applyFont="1" applyFill="1" applyBorder="1" applyAlignment="1">
      <x:alignment horizontal="center"/>
    </x:xf>
    <x:xf numFmtId="0" fontId="11" fillId="5" borderId="0" xfId="0" applyNumberFormat="1" applyFont="1" applyFill="1" applyBorder="1" applyAlignment="1">
      <x:alignment horizontal="center" vertical="center"/>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horizontal="left"/>
    </x:xf>
    <x:xf numFmtId="0" fontId="2" fillId="12" borderId="0" xfId="0" applyNumberFormat="1" applyFont="1" applyFill="1" applyBorder="1" applyAlignment="1">
      <x:alignment horizontal="left" vertical="center"/>
    </x:xf>
    <x:xf numFmtId="0" fontId="0" fillId="13" borderId="0" xfId="0" applyNumberFormat="1" applyFont="1" applyFill="1" applyBorder="1"/>
    <x:xf numFmtId="0" fontId="13" fillId="13" borderId="0" xfId="0" applyNumberFormat="1" applyFont="1" applyFill="1" applyBorder="1"/>
    <x:xf numFmtId="0" fontId="13" fillId="13" borderId="0" xfId="0" applyNumberFormat="1" applyFont="1" applyFill="1" applyBorder="1" applyAlignment="1">
      <x:alignment wrapText="1"/>
    </x:xf>
    <x:xf numFmtId="0" fontId="0" fillId="14" borderId="0" xfId="0" applyNumberFormat="1" applyFont="1" applyFill="1" applyBorder="1"/>
    <x:xf numFmtId="0" fontId="5" fillId="14" borderId="0" xfId="0" applyNumberFormat="1" applyFont="1" applyFill="1" applyBorder="1"/>
    <x:xf numFmtId="0" fontId="5" fillId="14" xfId="0" applyNumberFormat="1" applyFont="1" applyFill="1" applyBorder="0"/>
    <x:xf numFmtId="0" fontId="5" fillId="14" xfId="0" applyNumberFormat="1" applyFont="1" applyFill="1" applyBorder="0" applyAlignment="1">
      <x:alignment wrapText="1"/>
    </x:xf>
    <x:xf numFmtId="0" fontId="5" fillId="14" xfId="0" applyNumberFormat="1" applyFont="1" applyFill="1" applyBorder="0" applyAlignment="1">
      <x:alignment horizontal="center" wrapText="1"/>
    </x:xf>
    <x:xf numFmtId="0" fontId="5" fillId="14" xfId="0" applyNumberFormat="1" applyFont="1" applyFill="1" applyBorder="0"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vertical="top"/>
    </x:xf>
    <x:xf numFmtId="0" fontId="0" fillId="0" xfId="0" applyNumberFormat="1" applyFont="1" applyFill="1" applyBorder="0" applyAlignment="1">
      <x:alignment vertical="top" wrapText="1"/>
    </x:xf>
    <x:xf numFmtId="0" fontId="10" fillId="0" xfId="0" applyNumberFormat="1" applyFont="1" applyFill="1" applyBorder="0" applyAlignment="1">
      <x:alignment vertical="top" wrapText="1"/>
    </x:xf>
    <x:xf numFmtId="0" fontId="0" fillId="0" xfId="0" applyNumberFormat="1" applyFont="1" applyFill="1" applyBorder="0" applyAlignment="1">
      <x:alignment horizontal="center" vertical="top" wrapText="1"/>
    </x:xf>
    <x:xf numFmtId="0" fontId="14" fillId="0" xfId="0" applyNumberFormat="1" applyFont="1" applyFill="1" applyBorder="0" applyAlignment="1">
      <x:alignment horizontal="center" vertical="top" wrapText="1"/>
    </x:xf>
    <x:xf numFmtId="0" fontId="0" fillId="15" borderId="0" xfId="0" applyNumberFormat="1" applyFont="1" applyFill="1" applyBorder="1"/>
    <x:xf numFmtId="0" fontId="15" fillId="15" borderId="0" xfId="0" applyNumberFormat="1" applyFont="1" applyFill="1" applyBorder="1"/>
    <x:xf numFmtId="0" fontId="15" fillId="15" xfId="0" applyNumberFormat="1" applyFont="1" applyFill="1" applyBorder="0"/>
    <x:xf numFmtId="0" fontId="15" fillId="15" xfId="0" applyNumberFormat="1" applyFont="1" applyFill="1" applyBorder="0" applyAlignment="1">
      <x:alignment wrapText="1"/>
    </x:xf>
    <x:xf numFmtId="0" fontId="15" fillId="15" xfId="0" applyNumberFormat="1" applyFont="1" applyFill="1" applyBorder="0" applyAlignment="1">
      <x:alignment vertical="top" wrapText="1"/>
    </x:xf>
    <x:xf numFmtId="0" fontId="0" fillId="16" xfId="0" applyNumberFormat="1" applyFont="1" applyFill="1" applyBorder="0" applyAlignment="1">
      <x:alignment vertical="top" wrapText="1"/>
    </x:xf>
    <x:xf numFmtId="0" fontId="16" fillId="16" xfId="0" applyNumberFormat="1" applyFont="1" applyFill="1" applyBorder="0" applyAlignment="1">
      <x:alignment vertical="top" wrapText="1"/>
    </x:xf>
    <x:xf numFmtId="0" fontId="16" fillId="16" xfId="0" applyNumberFormat="1" applyFont="1" applyFill="1" applyBorder="0" applyAlignment="1">
      <x:alignment horizontal="center" vertical="top" wrapText="1"/>
    </x:xf>
    <x:xf numFmtId="0" fontId="0" fillId="17" borderId="0" xfId="0" applyNumberFormat="1" applyFont="1" applyFill="1" applyBorder="1"/>
    <x:xf numFmtId="0" fontId="17" fillId="17" borderId="0" xfId="0" applyNumberFormat="1" applyFont="1" applyFill="1" applyBorder="1"/>
    <x:xf numFmtId="0" fontId="17" fillId="17" xfId="0" applyNumberFormat="1" applyFont="1" applyFill="1" applyBorder="0"/>
    <x:xf numFmtId="0" fontId="17" fillId="17" xfId="0" applyNumberFormat="1" applyFont="1" applyFill="1" applyBorder="0" applyAlignment="1">
      <x:alignment wrapText="1"/>
    </x:xf>
    <x:xf numFmtId="0" fontId="17" fillId="17" xfId="0" applyNumberFormat="1" applyFont="1" applyFill="1" applyBorder="0" applyAlignment="1">
      <x:alignment vertical="top" wrapText="1"/>
    </x:xf>
    <x:xf numFmtId="201" fontId="0" fillId="0" xfId="0" applyNumberFormat="1" applyFont="1" applyFill="1" applyBorder="0" applyAlignment="1">
      <x:alignment vertical="top" wrapText="1"/>
    </x:xf>
    <x:xf numFmtId="208" fontId="0" fillId="0" xfId="0" applyNumberFormat="1" applyFont="1" applyFill="1" applyBorder="0" applyAlignment="1">
      <x:alignment vertical="top" wrapText="1"/>
    </x:xf>
    <x:xf numFmtId="203" fontId="0" fillId="0" xfId="0" applyNumberFormat="1" applyFont="1" applyFill="1" applyBorder="0" applyAlignment="1">
      <x:alignment vertical="top" wrapText="1"/>
    </x:xf>
    <x:xf numFmtId="209" fontId="0" fillId="0" xfId="0" applyNumberFormat="1" applyFont="1" applyFill="1" applyBorder="0" applyAlignment="1">
      <x:alignment vertical="top" wrapText="1"/>
    </x:xf>
    <x:xf numFmtId="210" fontId="0" fillId="0" xfId="0" applyNumberFormat="1" applyFont="1" applyFill="1" applyBorder="0" applyAlignment="1">
      <x:alignment vertical="top" wrapText="1"/>
    </x:xf>
    <x:xf numFmtId="211" fontId="0" fillId="0" xfId="0" applyNumberFormat="1" applyFont="1" applyFill="1" applyBorder="0" applyAlignment="1">
      <x:alignment vertical="top" wrapText="1"/>
    </x:xf>
    <x:xf numFmtId="212" fontId="0" fillId="0" xfId="0" applyNumberFormat="1" applyFont="1" applyFill="1" applyBorder="0" applyAlignment="1">
      <x:alignment vertical="top" wrapText="1"/>
    </x:xf>
    <x:xf numFmtId="0" fontId="0" fillId="13" xfId="0" applyNumberFormat="1" applyFont="1" applyFill="1" applyBorder="0" applyAlignment="1">
      <x:alignment vertical="top" wrapText="1"/>
    </x:xf>
    <x:xf numFmtId="0" fontId="13" fillId="13" xfId="0" applyNumberFormat="1" applyFont="1" applyFill="1" applyBorder="0" applyAlignment="1">
      <x:alignment vertical="top" wrapText="1"/>
    </x:xf>
    <x:xf numFmtId="0" fontId="13" fillId="13" xfId="0" applyNumberFormat="1" applyFont="1" applyFill="1" applyBorder="0" applyAlignment="1">
      <x:alignment horizontal="center" vertical="top" wrapText="1"/>
    </x:xf>
    <x:xf numFmtId="0" fontId="0" fillId="16" borderId="0" xfId="0" applyNumberFormat="1" applyFont="1" applyFill="1" applyBorder="1"/>
    <x:xf numFmtId="0" fontId="16" fillId="16" borderId="0" xfId="0" applyNumberFormat="1" applyFont="1" applyFill="1" applyBorder="1"/>
    <x:xf numFmtId="0" fontId="16" fillId="16" borderId="0" xfId="0" applyNumberFormat="1" applyFont="1" applyFill="1" applyBorder="1" applyAlignment="1">
      <x:alignment wrapText="1"/>
    </x:xf>
    <x:xf numFmtId="206" fontId="0" fillId="0" xfId="0" applyNumberFormat="1" applyFont="1" applyFill="1" applyBorder="0" applyAlignment="1">
      <x:alignment vertical="top" wrapText="1"/>
    </x:xf>
    <x:xf numFmtId="213" fontId="0" fillId="0" xfId="0" applyNumberFormat="1" applyFont="1" applyFill="1" applyBorder="0" applyAlignment="1">
      <x:alignment vertical="top" wrapText="1"/>
    </x:xf>
    <x:xf numFmtId="205" fontId="0" fillId="0" xfId="0" applyNumberFormat="1" applyFont="1" applyFill="1" applyBorder="0" applyAlignment="1">
      <x:alignment vertical="top" wrapText="1"/>
    </x:xf>
    <x:xf numFmtId="0" fontId="0" fillId="18" xfId="0" applyNumberFormat="1" applyFont="1" applyFill="1" applyBorder="0" applyAlignment="1">
      <x:alignment vertical="top" wrapText="1"/>
    </x:xf>
    <x:xf numFmtId="0" fontId="10" fillId="18" xfId="0" applyNumberFormat="1" applyFont="1" applyFill="1" applyBorder="0" applyAlignment="1">
      <x:alignment vertical="top" wrapText="1"/>
    </x:xf>
    <x:xf numFmtId="0" fontId="10" fillId="18" xfId="0" applyNumberFormat="1" applyFont="1" applyFill="1" applyBorder="0" applyAlignment="1">
      <x:alignment horizontal="center" vertical="top" wrapText="1"/>
    </x:xf>
    <x:xf numFmtId="0" fontId="18" fillId="0" xfId="0" applyNumberFormat="1" applyFont="1" applyFill="1" applyBorder="0" applyAlignment="1">
      <x:alignment horizontal="center" vertical="top" wrapText="1"/>
    </x:xf>
  </x:cellXfs>
  <x:cellStyles count="1">
    <x:cellStyle name="Normal" xfId="0"/>
  </x:cellStyles>
  <x:dxfs count="12">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color rgb="FF15803D"/>
      </x:font>
      <x:fill>
        <x:patternFill>
          <x:bgColor rgb="FFDCFCE7"/>
        </x:patternFill>
      </x:fill>
    </x:dxf>
    <x:dxf>
      <x:fill>
        <x:patternFill>
          <x:bgColor rgb="FFFEF3C7"/>
        </x:patternFill>
      </x:fill>
    </x:dxf>
    <x:dxf>
      <x:font>
        <x:b/>
        <x:color rgb="FF15803D"/>
      </x:font>
      <x:fill>
        <x:patternFill>
          <x:bgColor rgb="FFDCFCE7"/>
        </x:patternFill>
      </x:fill>
    </x:dxf>
    <x:dxf>
      <x:font>
        <x:b/>
        <x:color rgb="FF15803D"/>
      </x:font>
      <x:fill>
        <x:patternFill>
          <x:bgColor rgb="FFDCFCE7"/>
        </x:patternFill>
      </x:fill>
    </x:dxf>
    <x:dxf>
      <x:font>
        <x:b/>
        <x:color rgb="FFB45309"/>
      </x:font>
      <x:fill>
        <x:patternFill>
          <x:bgColor rgb="FFFEF3C7"/>
        </x:patternFill>
      </x:fill>
    </x:dxf>
    <x:dxf>
      <x:font>
        <x:b/>
        <x:color rgb="FFB91C1C"/>
      </x:font>
      <x:fill>
        <x:patternFill>
          <x:bgColor rgb="FFFEE2E2"/>
        </x:patternFill>
      </x:fill>
    </x:dxf>
    <x:dxf>
      <x:font>
        <x:color rgb="FF375623"/>
      </x:font>
      <x:fill>
        <x:patternFill>
          <x:bgColor rgb="FFE2F0D9"/>
        </x:patternFill>
      </x:fill>
    </x:dxf>
    <x:dxf>
      <x:font>
        <x:color rgb="FF9C0006"/>
      </x:font>
      <x:fill>
        <x:patternFill>
          <x:bgColor rgb="FFFCE4D6"/>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91f5575da2494d" /><Relationship Type="http://schemas.openxmlformats.org/officeDocument/2006/relationships/theme" Target="/xl/theme/theme1.xml" Id="R9fc958c47ce54db8" /><Relationship Type="http://schemas.openxmlformats.org/officeDocument/2006/relationships/sharedStrings" Target="/xl/sharedStrings.xml" Id="R9ddd5a2e18034339" /><Relationship Type="http://schemas.openxmlformats.org/officeDocument/2006/relationships/worksheet" Target="/xl/worksheets/sheet1.xml" Id="Rb1a407c095e54e35" /><Relationship Type="http://schemas.openxmlformats.org/officeDocument/2006/relationships/worksheet" Target="/xl/worksheets/sheet2.xml" Id="Rdba0753a7c954f38" /><Relationship Type="http://schemas.openxmlformats.org/officeDocument/2006/relationships/worksheet" Target="/xl/worksheets/sheet3.xml" Id="Rea0c9bf781654078" /><Relationship Type="http://schemas.openxmlformats.org/officeDocument/2006/relationships/worksheet" Target="/xl/worksheets/sheet4.xml" Id="R9d24bee5f2294629" /><Relationship Type="http://schemas.openxmlformats.org/officeDocument/2006/relationships/worksheet" Target="/xl/worksheets/sheet5.xml" Id="Rafa7b1be9093401f" /><Relationship Type="http://schemas.openxmlformats.org/officeDocument/2006/relationships/worksheet" Target="/xl/worksheets/sheet6.xml" Id="R7a7d6db6982844dd" /><Relationship Type="http://schemas.openxmlformats.org/officeDocument/2006/relationships/worksheet" Target="/xl/worksheets/sheet7.xml" Id="R16f6b4f4d3634b94" /><Relationship Type="http://schemas.openxmlformats.org/officeDocument/2006/relationships/worksheet" Target="/xl/worksheets/sheet8.xml" Id="R37a4e3a2b3174b90" /><Relationship Type="http://schemas.openxmlformats.org/officeDocument/2006/relationships/worksheet" Target="/xl/worksheets/sheet9.xml" Id="R6185556666bb4da1" /><Relationship Type="http://schemas.openxmlformats.org/officeDocument/2006/relationships/worksheet" Target="/xl/worksheets/sheet10.xml" Id="R1be651ee0dbc4125" /><Relationship Type="http://schemas.openxmlformats.org/officeDocument/2006/relationships/worksheet" Target="/xl/worksheets/sheet11.xml" Id="Rd805ccd288984783" /><Relationship Type="http://schemas.openxmlformats.org/officeDocument/2006/relationships/worksheet" Target="/xl/worksheets/sheet12.xml" Id="Rb1616925e13544ef" /><Relationship Type="http://schemas.openxmlformats.org/officeDocument/2006/relationships/worksheet" Target="/xl/worksheets/sheet13.xml" Id="Rf6bffa143dc04aab" /><Relationship Type="http://schemas.openxmlformats.org/officeDocument/2006/relationships/worksheet" Target="/xl/worksheets/sheet14.xml" Id="R39389f9e37024917" /><Relationship Type="http://schemas.openxmlformats.org/officeDocument/2006/relationships/worksheet" Target="/xl/worksheets/sheet15.xml" Id="R4350bda5be3b41ab" /><Relationship Type="http://schemas.openxmlformats.org/officeDocument/2006/relationships/worksheet" Target="/xl/worksheets/sheet16.xml" Id="Rc3c0451a906d4169" /><Relationship Type="http://schemas.openxmlformats.org/officeDocument/2006/relationships/worksheet" Target="/xl/worksheets/sheet17.xml" Id="Re93c5f5a2b794f13" /><Relationship Type="http://schemas.openxmlformats.org/officeDocument/2006/relationships/worksheet" Target="/xl/worksheets/sheet18.xml" Id="R64448f041ad54d73" /><Relationship Type="http://schemas.openxmlformats.org/officeDocument/2006/relationships/worksheet" Target="/xl/worksheets/sheet19.xml" Id="Rd231090e882b47ea" /></Relationships>
</file>

<file path=xl/drawings/_rels/drawing1.xml.rels>&#65279;<?xml version="1.0" encoding="utf-8"?><Relationships xmlns="http://schemas.openxmlformats.org/package/2006/relationships"><Relationship Type="http://schemas.openxmlformats.org/officeDocument/2006/relationships/chart" Target="/xl/drawings/charts/chart1.xml" Id="R7f07eddaa7f64b7b" /><Relationship Type="http://schemas.openxmlformats.org/officeDocument/2006/relationships/chart" Target="/xl/drawings/charts/chart2.xml" Id="R828857d452bd4f68" /></Relationships>
</file>

<file path=xl/drawings/_rels/drawing2.xml.rels>&#65279;<?xml version="1.0" encoding="utf-8"?><Relationships xmlns="http://schemas.openxmlformats.org/package/2006/relationships"><Relationship Type="http://schemas.openxmlformats.org/officeDocument/2006/relationships/chart" Target="/xl/drawings/charts/chart3.xml" Id="Re158e528a97d4ed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Day 1 research-product score</a:t>
            </a:r>
          </a:p>
        </c:rich>
      </c:tx>
    </c:title>
    <c:plotArea>
      <c:barChart>
        <c:barDir val="col"/>
        <c:varyColors val="0"/>
        <c:ser>
          <c:idx val="0"/>
          <c:order val="0"/>
          <c:tx>
            <c:v>Weighted score</c:v>
          </c:tx>
          <c:cat>
            <c:strRef>
              <c:f>'Dashboard'!$A$23:$A$24</c:f>
              <c:strCache>
                <c:ptCount val="0"/>
              </c:strCache>
            </c:strRef>
          </c:cat>
          <c:val>
            <c:numRef>
              <c:f>'Dashboard'!$B$23:$B$24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BDC structural windows by minimum length</a:t>
            </a:r>
          </a:p>
        </c:rich>
      </c:tx>
    </c:title>
    <c:plotArea>
      <c:lineChart>
        <c:grouping val="standard"/>
        <c:varyColors val="0"/>
        <c:ser>
          <c:idx val="0"/>
          <c:order val="0"/>
          <c:tx>
            <c:v>≥3d</c:v>
          </c:tx>
          <c:marker>
            <c:symbol val="none"/>
          </c:marker>
          <c:cat>
            <c:strRef>
              <c:f>'Dashboard'!$N$29:$N$32</c:f>
              <c:strCache>
                <c:ptCount val="0"/>
              </c:strCache>
            </c:strRef>
          </c:cat>
          <c:val>
            <c:numRef>
              <c:f>'Dashboard'!$O$29:$O$32</c:f>
              <c:numCache>
                <c:formatCode>General</c:formatCode>
                <c:ptCount val="0"/>
              </c:numCache>
            </c:numRef>
          </c:val>
        </c:ser>
        <c:ser>
          <c:idx val="1"/>
          <c:order val="1"/>
          <c:tx>
            <c:v>≥5d</c:v>
          </c:tx>
          <c:marker>
            <c:symbol val="none"/>
          </c:marker>
          <c:cat>
            <c:strRef>
              <c:f>'Dashboard'!$N$29:$N$32</c:f>
              <c:strCache>
                <c:ptCount val="0"/>
              </c:strCache>
            </c:strRef>
          </c:cat>
          <c:val>
            <c:numRef>
              <c:f>'Dashboard'!$P$29:$P$32</c:f>
              <c:numCache>
                <c:formatCode>General</c:formatCode>
                <c:ptCount val="0"/>
              </c:numCache>
            </c:numRef>
          </c:val>
        </c:ser>
        <c:ser>
          <c:idx val="2"/>
          <c:order val="2"/>
          <c:tx>
            <c:v>≥7d</c:v>
          </c:tx>
          <c:marker>
            <c:symbol val="none"/>
          </c:marker>
          <c:cat>
            <c:strRef>
              <c:f>'Dashboard'!$N$29:$N$32</c:f>
              <c:strCache>
                <c:ptCount val="0"/>
              </c:strCache>
            </c:strRef>
          </c:cat>
          <c:val>
            <c:numRef>
              <c:f>'Dashboard'!$Q$29:$Q$32</c:f>
              <c:numCache>
                <c:formatCode>General</c:formatCode>
                <c:ptCount val="0"/>
              </c:numCache>
            </c:numRef>
          </c:val>
        </c:ser>
        <c:ser>
          <c:idx val="3"/>
          <c:order val="3"/>
          <c:tx>
            <c:v>≥10d</c:v>
          </c:tx>
          <c:marker>
            <c:symbol val="none"/>
          </c:marker>
          <c:cat>
            <c:strRef>
              <c:f>'Dashboard'!$N$29:$N$32</c:f>
              <c:strCache>
                <c:ptCount val="0"/>
              </c:strCache>
            </c:strRef>
          </c:cat>
          <c:val>
            <c:numRef>
              <c:f>'Dashboard'!$R$29:$R$32</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Структурные source→listed окна по кварталам</a:t>
            </a:r>
          </a:p>
        </c:rich>
      </c:tx>
    </c:title>
    <c:plotArea>
      <c:lineChart>
        <c:grouping val="standard"/>
        <c:varyColors val="0"/>
        <c:ser>
          <c:idx val="0"/>
          <c:order val="0"/>
          <c:tx>
            <c:v>≥3d</c:v>
          </c:tx>
          <c:marker>
            <c:symbol val="none"/>
          </c:marker>
          <c:cat>
            <c:strRef>
              <c:f>'BDC_Window_Summary'!$R$5:$R$8</c:f>
              <c:strCache>
                <c:ptCount val="0"/>
              </c:strCache>
            </c:strRef>
          </c:cat>
          <c:val>
            <c:numRef>
              <c:f>'BDC_Window_Summary'!$S$5:$S$8</c:f>
              <c:numCache>
                <c:formatCode>General</c:formatCode>
                <c:ptCount val="0"/>
              </c:numCache>
            </c:numRef>
          </c:val>
        </c:ser>
        <c:ser>
          <c:idx val="1"/>
          <c:order val="1"/>
          <c:tx>
            <c:v>≥5d</c:v>
          </c:tx>
          <c:marker>
            <c:symbol val="none"/>
          </c:marker>
          <c:cat>
            <c:strRef>
              <c:f>'BDC_Window_Summary'!$R$5:$R$8</c:f>
              <c:strCache>
                <c:ptCount val="0"/>
              </c:strCache>
            </c:strRef>
          </c:cat>
          <c:val>
            <c:numRef>
              <c:f>'BDC_Window_Summary'!$T$5:$T$8</c:f>
              <c:numCache>
                <c:formatCode>General</c:formatCode>
                <c:ptCount val="0"/>
              </c:numCache>
            </c:numRef>
          </c:val>
        </c:ser>
        <c:ser>
          <c:idx val="2"/>
          <c:order val="2"/>
          <c:tx>
            <c:v>≥7d</c:v>
          </c:tx>
          <c:marker>
            <c:symbol val="none"/>
          </c:marker>
          <c:cat>
            <c:strRef>
              <c:f>'BDC_Window_Summary'!$R$5:$R$8</c:f>
              <c:strCache>
                <c:ptCount val="0"/>
              </c:strCache>
            </c:strRef>
          </c:cat>
          <c:val>
            <c:numRef>
              <c:f>'BDC_Window_Summary'!$U$5:$U$8</c:f>
              <c:numCache>
                <c:formatCode>General</c:formatCode>
                <c:ptCount val="0"/>
              </c:numCache>
            </c:numRef>
          </c:val>
        </c:ser>
        <c:ser>
          <c:idx val="3"/>
          <c:order val="3"/>
          <c:tx>
            <c:v>≥10d</c:v>
          </c:tx>
          <c:marker>
            <c:symbol val="none"/>
          </c:marker>
          <c:cat>
            <c:strRef>
              <c:f>'BDC_Window_Summary'!$R$5:$R$8</c:f>
              <c:strCache>
                <c:ptCount val="0"/>
              </c:strCache>
            </c:strRef>
          </c:cat>
          <c:val>
            <c:numRef>
              <c:f>'BDC_Window_Summary'!$V$5:$V$8</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27</xdr:row>
      <xdr:rowOff>0</xdr:rowOff>
    </xdr:from>
    <xdr:to>
      <xdr:col>6</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07eddaa7f64b7b"/>
        </a:graphicData>
      </a:graphic>
    </xdr:graphicFrame>
    <xdr:clientData/>
  </xdr:twoCellAnchor>
  <xdr:twoCellAnchor>
    <xdr:from>
      <xdr:col>6</xdr:col>
      <xdr:colOff>0</xdr:colOff>
      <xdr:row>27</xdr:row>
      <xdr:rowOff>0</xdr:rowOff>
    </xdr:from>
    <xdr:to>
      <xdr:col>12</xdr:col>
      <xdr:colOff>0</xdr:colOff>
      <xdr:row>43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8857d452bd4f68"/>
        </a:graphicData>
      </a:graphic>
    </xdr:graphicFrame>
    <xdr:clientData/>
  </xdr:twoCellAnchor>
</xdr:wsDr>
</file>

<file path=xl/drawings/drawing2.xml><?xml version="1.0" encoding="utf-8"?>
<xdr:wsDr xmlns:xdr="http://schemas.openxmlformats.org/drawingml/2006/spreadsheetDrawing">
  <xdr:twoCellAnchor>
    <xdr:from>
      <xdr:col>8</xdr:col>
      <xdr:colOff>0</xdr:colOff>
      <xdr:row>10</xdr:row>
      <xdr:rowOff>0</xdr:rowOff>
    </xdr:from>
    <xdr:to>
      <xdr:col>16</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58e528a97d4edf"/>
        </a:graphicData>
      </a:graphic>
    </xdr:graphicFrame>
    <xdr:clientData/>
  </xdr:twoCellAnchor>
</xdr:wsDr>
</file>

<file path=xl/tables/table1.xml><?xml version="1.0" encoding="utf-8"?>
<x:table xmlns:x="http://schemas.openxmlformats.org/spreadsheetml/2006/main" id="11" name="Day1ChecklistTable" displayName="Day1ChecklistTable" ref="A4:H18" headerRowCount="1" totalsRowCount="0" totalsRowShown="0">
  <x:tableColumns count="8">
    <x:tableColumn id="1" name="Track"/>
    <x:tableColumn id="2" name="Workstream"/>
    <x:tableColumn id="3" name="Day 1 / next task"/>
    <x:tableColumn id="4" name="Status"/>
    <x:tableColumn id="5" name="Owner"/>
    <x:tableColumn id="6" name="Result today"/>
    <x:tableColumn id="7" name="Next action"/>
    <x:tableColumn id="8" name="Evidence sheet"/>
  </x:tableColumns>
  <x:tableStyleInfo name="TableStyleMedium2" showFirstColumn="0" showLastColumn="0" showRowStripes="1" showColumnStripes="0"/>
</x:table>
</file>

<file path=xl/tables/table2.xml><?xml version="1.0" encoding="utf-8"?>
<x:table xmlns:x="http://schemas.openxmlformats.org/spreadsheetml/2006/main" id="12" name="DecisionMatrixTable" displayName="DecisionMatrixTable" ref="A4:F14" headerRowCount="1" totalsRowCount="0" totalsRowShown="0">
  <x:tableColumns count="6">
    <x:tableColumn id="1" name="Criterion"/>
    <x:tableColumn id="2" name="ShadowNAV score"/>
    <x:tableColumn id="3" name="Japan score"/>
    <x:tableColumn id="4" name="Day 1 evidence"/>
    <x:tableColumn id="5" name="Current lead"/>
    <x:tableColumn id="6" name="Weight"/>
  </x:tableColumns>
  <x:tableStyleInfo name="TableStyleMedium2" showFirstColumn="0" showLastColumn="0" showRowStripes="1" showColumnStripes="0"/>
</x:table>
</file>

<file path=xl/tables/table3.xml><?xml version="1.0" encoding="utf-8"?>
<x:table xmlns:x="http://schemas.openxmlformats.org/spreadsheetml/2006/main" id="2" name="BDCUniverseTable" displayName="BDCUniverseTable" ref="A4:G24" headerRowCount="1" totalsRowCount="0" totalsRowShown="0">
  <x:tableColumns count="7">
    <x:tableColumn id="1" name="Ticker"/>
    <x:tableColumn id="2" name="CIK"/>
    <x:tableColumn id="3" name="Registrant"/>
    <x:tableColumn id="4" name="Manager"/>
    <x:tableColumn id="5" name="Listing status"/>
    <x:tableColumn id="6" name="Роль в пилоте"/>
    <x:tableColumn id="7" name="Day 1 note"/>
  </x:tableColumns>
  <x:tableStyleInfo name="TableStyleMedium2" showFirstColumn="0" showLastColumn="0" showRowStripes="1" showColumnStripes="0"/>
</x:table>
</file>

<file path=xl/tables/table4.xml><?xml version="1.0" encoding="utf-8"?>
<x:table xmlns:x="http://schemas.openxmlformats.org/spreadsheetml/2006/main" id="3" name="BDCFilingCalendarTable" displayName="BDCFilingCalendarTable" ref="A4:N84" headerRowCount="1" totalsRowCount="0" totalsRowShown="0">
  <x:tableColumns count="14">
    <x:tableColumn id="1" name="Period"/>
    <x:tableColumn id="2" name="Period end"/>
    <x:tableColumn id="3" name="Ticker"/>
    <x:tableColumn id="4" name="Listing"/>
    <x:tableColumn id="5" name="Manager"/>
    <x:tableColumn id="6" name="First public date"/>
    <x:tableColumn id="7" name="First public time"/>
    <x:tableColumn id="8" name="First form"/>
    <x:tableColumn id="9" name="Periodic filing date"/>
    <x:tableColumn id="10" name="Lead vs periodic (days)"/>
    <x:tableColumn id="11" name="Confidence"/>
    <x:tableColumn id="12" name="Timestamp verified"/>
    <x:tableColumn id="13" name="Notes"/>
    <x:tableColumn id="14" name="Source URL"/>
  </x:tableColumns>
  <x:tableStyleInfo name="TableStyleMedium2" showFirstColumn="0" showLastColumn="0" showRowStripes="1" showColumnStripes="0"/>
</x:table>
</file>

<file path=xl/tables/table5.xml><?xml version="1.0" encoding="utf-8"?>
<x:table xmlns:x="http://schemas.openxmlformats.org/spreadsheetml/2006/main" id="4" name="BDCWindowSummaryTable" displayName="BDCWindowSummaryTable" ref="A4:P8" headerRowCount="1" totalsRowCount="0" totalsRowShown="0">
  <x:tableColumns count="16">
    <x:tableColumn id="1" name="Period"/>
    <x:tableColumn id="2" name="BDC count"/>
    <x:tableColumn id="3" name="Earliest"/>
    <x:tableColumn id="4" name="Latest"/>
    <x:tableColumn id="5" name="Universe span (days)"/>
    <x:tableColumn id="6" name="Listed earliest"/>
    <x:tableColumn id="7" name="Listed latest"/>
    <x:tableColumn id="8" name="Non-listed earliest"/>
    <x:tableColumn id="9" name="Non-listed latest"/>
    <x:tableColumn id="10" name="Positive source→listed pairs"/>
    <x:tableColumn id="11" name="≥3d"/>
    <x:tableColumn id="12" name="≥5d"/>
    <x:tableColumn id="13" name="≥7d"/>
    <x:tableColumn id="14" name="≥10d"/>
    <x:tableColumn id="15" name="Non-listed→listed positive"/>
    <x:tableColumn id="16" name="Non-listed→listed ≥3d"/>
  </x:tableColumns>
  <x:tableStyleInfo name="TableStyleMedium2" showFirstColumn="0" showLastColumn="0" showRowStripes="1" showColumnStripes="0"/>
</x:table>
</file>

<file path=xl/tables/table6.xml><?xml version="1.0" encoding="utf-8"?>
<x:table xmlns:x="http://schemas.openxmlformats.org/spreadsheetml/2006/main" id="5" name="BDCRankTable" displayName="BDCRankTable" ref="A12:G32" headerRowCount="1" totalsRowCount="0" totalsRowShown="0">
  <x:tableColumns count="7">
    <x:tableColumn id="1" name="Ticker"/>
    <x:tableColumn id="2" name="Listing"/>
    <x:tableColumn id="3" name="Manager"/>
    <x:tableColumn id="4" name="Average dense rank"/>
    <x:tableColumn id="5" name="Best rank"/>
    <x:tableColumn id="6" name="Worst rank"/>
    <x:tableColumn id="7" name="Ranks by quarter"/>
  </x:tableColumns>
  <x:tableStyleInfo name="TableStyleMedium2" showFirstColumn="0" showLastColumn="0" showRowStripes="1" showColumnStripes="0"/>
</x:table>
</file>

<file path=xl/tables/table7.xml><?xml version="1.0" encoding="utf-8"?>
<x:table xmlns:x="http://schemas.openxmlformats.org/spreadsheetml/2006/main" id="6" name="BDCCandidateWindowsTable" displayName="BDCCandidateWindowsTable" ref="A4:L33" headerRowCount="1" totalsRowCount="0" totalsRowShown="0">
  <x:tableColumns count="12">
    <x:tableColumn id="1" name="Period"/>
    <x:tableColumn id="2" name="Source"/>
    <x:tableColumn id="3" name="Target"/>
    <x:tableColumn id="4" name="Source date"/>
    <x:tableColumn id="5" name="Target date"/>
    <x:tableColumn id="6" name="Window (days)"/>
    <x:tableColumn id="7" name="Source manager"/>
    <x:tableColumn id="8" name="Target manager"/>
    <x:tableColumn id="9" name="Shared borrower?"/>
    <x:tableColumn id="10" name="Exact facility?"/>
    <x:tableColumn id="11" name="Evidence / facility"/>
    <x:tableColumn id="12" name="Review note"/>
  </x:tableColumns>
  <x:tableStyleInfo name="TableStyleMedium2" showFirstColumn="0" showLastColumn="0" showRowStripes="1" showColumnStripes="0"/>
</x:table>
</file>

<file path=xl/tables/table8.xml><?xml version="1.0" encoding="utf-8"?>
<x:table xmlns:x="http://schemas.openxmlformats.org/spreadsheetml/2006/main" id="7" name="BDCFacilitySchemaTable" displayName="BDCFacilitySchemaTable" ref="A4:E35" headerRowCount="1" totalsRowCount="0" totalsRowShown="0">
  <x:tableColumns count="5">
    <x:tableColumn id="1" name="Field"/>
    <x:tableColumn id="2" name="Meaning"/>
    <x:tableColumn id="3" name="Type / Unit"/>
    <x:tableColumn id="4" name="Status"/>
    <x:tableColumn id="5" name="Day 1 note"/>
  </x:tableColumns>
  <x:tableStyleInfo name="TableStyleMedium2" showFirstColumn="0" showLastColumn="0" showRowStripes="1" showColumnStripes="0"/>
</x:table>
</file>

<file path=xl/tables/table9.xml><?xml version="1.0" encoding="utf-8"?>
<x:table xmlns:x="http://schemas.openxmlformats.org/spreadsheetml/2006/main" id="8" name="JapanArchiveTestTable" displayName="JapanArchiveTestTable" ref="A4:F11" headerRowCount="1" totalsRowCount="0" totalsRowShown="0">
  <x:tableColumns count="6">
    <x:tableColumn id="1" name="Test date"/>
    <x:tableColumn id="2" name="Accessible?"/>
    <x:tableColumn id="3" name="Reported items"/>
    <x:tableColumn id="4" name="Finding"/>
    <x:tableColumn id="5" name="Source type"/>
    <x:tableColumn id="6" name="URL"/>
  </x:tableColumns>
  <x:tableStyleInfo name="TableStyleMedium2" showFirstColumn="0" showLastColumn="0" showRowStripes="1" showColumnStripes="0"/>
</x:table>
</file>

<file path=xl/tables/table10.xml><?xml version="1.0" encoding="utf-8"?>
<x:table xmlns:x="http://schemas.openxmlformats.org/spreadsheetml/2006/main" id="9" name="JapanEventSampleTable" displayName="JapanEventSampleTable" ref="A4:J17" headerRowCount="1" totalsRowCount="0" totalsRowShown="0">
  <x:tableColumns count="10">
    <x:tableColumn id="1" name="Disclosure datetime JST"/>
    <x:tableColumn id="2" name="Code"/>
    <x:tableColumn id="3" name="Company raw"/>
    <x:tableColumn id="4" name="Event class"/>
    <x:tableColumn id="5" name="Japanese title"/>
    <x:tableColumn id="6" name="Direction / note"/>
    <x:tableColumn id="7" name="Market segment"/>
    <x:tableColumn id="8" name="English status"/>
    <x:tableColumn id="9" name="Old→new guidance extracted?"/>
    <x:tableColumn id="10" name="Source URL"/>
  </x:tableColumns>
  <x:tableStyleInfo name="TableStyleMedium2" showFirstColumn="0" showLastColumn="0" showRowStripes="1" showColumnStripes="0"/>
</x:table>
</file>

<file path=xl/tables/table11.xml><?xml version="1.0" encoding="utf-8"?>
<x:table xmlns:x="http://schemas.openxmlformats.org/spreadsheetml/2006/main" id="10" name="JapanDataSchemaTable" displayName="JapanDataSchemaTable" ref="A4:D31" headerRowCount="1" totalsRowCount="0" totalsRowShown="0">
  <x:tableColumns count="4">
    <x:tableColumn id="1" name="Field"/>
    <x:tableColumn id="2" name="Meaning"/>
    <x:tableColumn id="3" name="Type / Unit"/>
    <x:tableColumn id="4" name="Role"/>
  </x:tableColumns>
  <x:tableStyleInfo name="TableStyleMedium2" showFirstColumn="0" showLastColumn="0" showRowStripes="1" showColumnStripes="0"/>
</x:table>
</file>

<file path=xl/tables/table12.xml><?xml version="1.0" encoding="utf-8"?>
<x:table xmlns:x="http://schemas.openxmlformats.org/spreadsheetml/2006/main" id="1" name="SourcesTable" displayName="SourcesTable" ref="A3:E13" headerRowCount="1" totalsRowCount="0" totalsRowShown="0">
  <x:tableColumns count="5">
    <x:tableColumn id="1" name="Источник"/>
    <x:tableColumn id="2" name="Статус"/>
    <x:tableColumn id="3" name="Трек"/>
    <x:tableColumn id="4" name="Что подтверждает"/>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b1c355b908246fb" /></Relationships>
</file>

<file path=xl/worksheets/_rels/sheet2.xml.rels>&#65279;<?xml version="1.0" encoding="utf-8"?><Relationships xmlns="http://schemas.openxmlformats.org/package/2006/relationships"><Relationship Type="http://schemas.openxmlformats.org/officeDocument/2006/relationships/table" Target="/xl/tables/table1.xml" Id="R6acc83841f074c4b" /></Relationships>
</file>

<file path=xl/worksheets/_rels/sheet3.xml.rels>&#65279;<?xml version="1.0" encoding="utf-8"?><Relationships xmlns="http://schemas.openxmlformats.org/package/2006/relationships"><Relationship Type="http://schemas.openxmlformats.org/officeDocument/2006/relationships/table" Target="/xl/tables/table2.xml" Id="R0009152092b34baa" /></Relationships>
</file>

<file path=xl/worksheets/_rels/sheet4.xml.rels>&#65279;<?xml version="1.0" encoding="utf-8"?><Relationships xmlns="http://schemas.openxmlformats.org/package/2006/relationships"><Relationship Type="http://schemas.openxmlformats.org/officeDocument/2006/relationships/table" Target="/xl/tables/table3.xml" Id="Rad7b3d0e25f44df6" /></Relationships>
</file>

<file path=xl/worksheets/_rels/sheet5.xml.rels>&#65279;<?xml version="1.0" encoding="utf-8"?><Relationships xmlns="http://schemas.openxmlformats.org/package/2006/relationships"><Relationship Type="http://schemas.openxmlformats.org/officeDocument/2006/relationships/table" Target="/xl/tables/table4.xml" Id="Rcdbf03db78ff49ea" /></Relationships>
</file>

<file path=xl/worksheets/_rels/sheet6.xml.rels>&#65279;<?xml version="1.0" encoding="utf-8"?><Relationships xmlns="http://schemas.openxmlformats.org/package/2006/relationships"><Relationship Type="http://schemas.openxmlformats.org/officeDocument/2006/relationships/drawing" Target="/xl/drawings/drawing2.xml" Id="R5d5bfb8c33934321" /><Relationship Type="http://schemas.openxmlformats.org/officeDocument/2006/relationships/table" Target="/xl/tables/table5.xml" Id="R0aeb77788af643aa" /><Relationship Type="http://schemas.openxmlformats.org/officeDocument/2006/relationships/table" Target="/xl/tables/table6.xml" Id="Rbbc00a093bbb4684" /></Relationships>
</file>

<file path=xl/worksheets/_rels/sheet7.xml.rels>&#65279;<?xml version="1.0" encoding="utf-8"?><Relationships xmlns="http://schemas.openxmlformats.org/package/2006/relationships"><Relationship Type="http://schemas.openxmlformats.org/officeDocument/2006/relationships/table" Target="/xl/tables/table7.xml" Id="R451680216f0c4429" /></Relationships>
</file>

<file path=xl/worksheets/_rels/sheet8.xml.rels>&#65279;<?xml version="1.0" encoding="utf-8"?><Relationships xmlns="http://schemas.openxmlformats.org/package/2006/relationships"><Relationship Type="http://schemas.openxmlformats.org/officeDocument/2006/relationships/table" Target="/xl/tables/table8.xml" Id="R635147d068ab4f26" /></Relationships>
</file>

<file path=xl/worksheets/_rels/sheet9.xml.rels>&#65279;<?xml version="1.0" encoding="utf-8"?><Relationships xmlns="http://schemas.openxmlformats.org/package/2006/relationships"><Relationship Type="http://schemas.openxmlformats.org/officeDocument/2006/relationships/table" Target="/xl/tables/table9.xml" Id="R8e953db76dc74597" /></Relationships>
</file>

<file path=xl/worksheets/_rels/sheet10.xml.rels>&#65279;<?xml version="1.0" encoding="utf-8"?><Relationships xmlns="http://schemas.openxmlformats.org/package/2006/relationships"><Relationship Type="http://schemas.openxmlformats.org/officeDocument/2006/relationships/table" Target="/xl/tables/table10.xml" Id="R294cd54642ad4e54" /></Relationships>
</file>

<file path=xl/worksheets/_rels/sheet11.xml.rels>&#65279;<?xml version="1.0" encoding="utf-8"?><Relationships xmlns="http://schemas.openxmlformats.org/package/2006/relationships"><Relationship Type="http://schemas.openxmlformats.org/officeDocument/2006/relationships/table" Target="/xl/tables/table11.xml" Id="Rb09f8b9476b440b8" /></Relationships>
</file>

<file path=xl/worksheets/_rels/sheet12.xml.rels>&#65279;<?xml version="1.0" encoding="utf-8"?><Relationships xmlns="http://schemas.openxmlformats.org/package/2006/relationships"><Relationship Type="http://schemas.openxmlformats.org/officeDocument/2006/relationships/table" Target="/xl/tables/table12.xml" Id="R12861835a8d548c9"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7" max="7" width="14" hidden="0" customWidth="1"/>
    <x:col min="8" max="8" width="14" hidden="0" customWidth="1"/>
    <x:col min="3" max="3" width="14" hidden="0" customWidth="1"/>
    <x:col min="4" max="4" width="14" hidden="0" customWidth="1"/>
    <x:col min="5" max="5" width="14" hidden="0" customWidth="1"/>
    <x:col min="6" max="6" width="14" hidden="0" customWidth="1"/>
    <x:col min="9" max="9" width="14" hidden="0" customWidth="1"/>
    <x:col min="10" max="10" width="14" hidden="0" customWidth="1"/>
    <x:col min="11" max="11" width="14" hidden="0" customWidth="1"/>
    <x:col min="12" max="12" width="14" hidden="0" customWidth="1"/>
    <x:col min="14" max="14" width="2" hidden="0" customWidth="1"/>
    <x:col min="15" max="15" width="2" hidden="0" customWidth="1"/>
    <x:col min="16" max="16" width="2" hidden="0" customWidth="1"/>
    <x:col min="17" max="17" width="2" hidden="0" customWidth="1"/>
    <x:col min="18" max="18" width="2" hidden="0" customWidth="1"/>
  </x:cols>
  <x:sheetData>
    <x:row r="1">
      <x:c r="A1" s="112" t="str">
        <x:v>72-Hour Finance Project Showdown — Day 1</x:v>
      </x:c>
      <x:c r="B1" s="112"/>
      <x:c r="C1" s="112"/>
      <x:c r="D1" s="112"/>
      <x:c r="E1" s="112"/>
      <x:c r="F1" s="112"/>
      <x:c r="G1" s="112"/>
      <x:c r="H1" s="112"/>
      <x:c r="I1" s="112"/>
      <x:c r="J1" s="112"/>
      <x:c r="K1" s="112"/>
      <x:c r="L1" s="112"/>
    </x:row>
    <x:row r="2">
      <x:c r="A2" s="24" t="str">
        <x:v>ShadowNAV vs Japan Language Wall | Day 1 reconciled snapshot | Canonical facts are on Day1_Reconciliation | 2026-08-12</x:v>
      </x:c>
      <x:c r="B2" s="24"/>
      <x:c r="C2" s="24"/>
      <x:c r="D2" s="24"/>
      <x:c r="E2" s="24"/>
      <x:c r="F2" s="24"/>
      <x:c r="G2" s="24"/>
      <x:c r="H2" s="24"/>
      <x:c r="I2" s="24"/>
      <x:c r="J2" s="24"/>
      <x:c r="K2" s="24"/>
      <x:c r="L2" s="24"/>
    </x:row>
    <x:row r="4">
      <x:c r="A4" s="89" t="str">
        <x:v>BDC pilot universe</x:v>
      </x:c>
      <x:c r="C4" s="96" t="n">
        <x:f>COUNTA(BDC_Universe!A5:A24)</x:f>
        <x:v>20</x:v>
      </x:c>
      <x:c r="D4" s="89" t="str">
        <x:v>BDC filing observations</x:v>
      </x:c>
      <x:c r="F4" s="96" t="n">
        <x:f>COUNTA(BDC_Filing_Calendar!A5:A84)</x:f>
        <x:v>80</x:v>
      </x:c>
      <x:c r="G4" s="89" t="str">
        <x:v>Structural windows ≥3d</x:v>
      </x:c>
      <x:c r="I4" s="96" t="n">
        <x:f>SUM(BDC_Window_Summary!K5:K8)</x:f>
        <x:v>295</x:v>
      </x:c>
      <x:c r="J4" s="89" t="str">
        <x:v>Non-listed→listed ≥3d</x:v>
      </x:c>
      <x:c r="L4" s="96" t="n">
        <x:f>SUM(BDC_Window_Summary!P5:P8)</x:f>
        <x:v>29</x:v>
      </x:c>
    </x:row>
    <x:row r="5">
      <x:c r="A5" s="102" t="str">
        <x:v>entities</x:v>
      </x:c>
      <x:c r="B5" s="102"/>
      <x:c r="C5" s="102"/>
      <x:c r="D5" s="102" t="str">
        <x:v>4 quarters</x:v>
      </x:c>
      <x:c r="E5" s="102"/>
      <x:c r="F5" s="102"/>
      <x:c r="G5" s="102" t="str">
        <x:v>before facility filter</x:v>
      </x:c>
      <x:c r="H5" s="102"/>
      <x:c r="I5" s="102"/>
      <x:c r="J5" s="102" t="str">
        <x:v>before facility filter</x:v>
      </x:c>
      <x:c r="K5" s="102"/>
      <x:c r="L5" s="102"/>
    </x:row>
    <x:row r="8">
      <x:c r="A8" s="89" t="str">
        <x:v>Japan archive dates passed</x:v>
      </x:c>
      <x:c r="C8" s="96" t="n">
        <x:f>COUNTIF(Japan_Archive_Test!B5:B11,"Да")</x:f>
        <x:v>7</x:v>
      </x:c>
      <x:c r="D8" s="89" t="str">
        <x:v>Japan seed events</x:v>
      </x:c>
      <x:c r="F8" s="96" t="n">
        <x:f>COUNTA(Japan_Event_Sample!A5:A17)</x:f>
        <x:v>13</x:v>
      </x:c>
      <x:c r="G8" s="89" t="str">
        <x:v>Day 1 tasks done</x:v>
      </x:c>
      <x:c r="I8" s="96" t="n">
        <x:f>COUNTIF(Day1_Checklist!D5:D18,"Done")</x:f>
        <x:v>6</x:v>
      </x:c>
      <x:c r="J8" s="89" t="str">
        <x:v>Open / in progress</x:v>
      </x:c>
      <x:c r="L8" s="96" t="n">
        <x:f>COUNTIF(Day1_Checklist!D5:D18,"In Progress")+COUNTIF(Day1_Checklist!D5:D18,"Not Started")</x:f>
        <x:v>8</x:v>
      </x:c>
    </x:row>
    <x:row r="9">
      <x:c r="A9" s="102" t="str">
        <x:v>historical tests</x:v>
      </x:c>
      <x:c r="B9" s="102"/>
      <x:c r="C9" s="102"/>
      <x:c r="D9" s="102" t="str">
        <x:v>forecast-revision sample</x:v>
      </x:c>
      <x:c r="E9" s="102"/>
      <x:c r="F9" s="102"/>
      <x:c r="G9" s="102" t="str">
        <x:v>of 14</x:v>
      </x:c>
      <x:c r="H9" s="102"/>
      <x:c r="I9" s="102"/>
      <x:c r="J9" s="102" t="str">
        <x:v>next work</x:v>
      </x:c>
      <x:c r="K9" s="102"/>
      <x:c r="L9" s="102"/>
    </x:row>
    <x:row r="12">
      <x:c r="A12" s="47" t="str">
        <x:v>Что уже выяснено сегодня</x:v>
      </x:c>
      <x:c r="B12" s="47"/>
      <x:c r="C12" s="47"/>
      <x:c r="D12" s="47"/>
      <x:c r="E12" s="47"/>
      <x:c r="F12" s="47"/>
      <x:c r="G12" s="47" t="str">
        <x:v>Что ещё может убить проекты</x:v>
      </x:c>
      <x:c r="H12" s="47"/>
      <x:c r="I12" s="47"/>
      <x:c r="J12" s="47"/>
      <x:c r="K12" s="47"/>
      <x:c r="L12" s="47"/>
    </x:row>
    <x:row r="13" ht="44" customHeight="1">
      <x:c r="A13" s="77" t="str">
        <x:v>Календарь BDC</x:v>
      </x:c>
      <x:c r="B13" s="117"/>
      <x:c r="C13" s="122" t="str">
        <x:v>Собрано 20 BDC × 4 квартала. Разброс дат раскрытия по вселенной — 14–42 календарных дня.</x:v>
      </x:c>
      <x:c r="D13" s="122"/>
      <x:c r="E13" s="122"/>
      <x:c r="F13" s="122"/>
      <x:c r="G13" s="77" t="str">
        <x:v>ShadowNAV</x:v>
      </x:c>
      <x:c r="H13" s="117"/>
      <x:c r="I13" s="122" t="str">
        <x:v>Exact same facilities могут оказаться слишком редкими после сопоставления lien, maturity, rate и tranche.</x:v>
      </x:c>
      <x:c r="J13" s="122"/>
      <x:c r="K13" s="122"/>
      <x:c r="L13" s="122"/>
    </x:row>
    <x:row r="14" ht="44" customHeight="1">
      <x:c r="A14" s="77" t="str">
        <x:v>Окна ShadowNAV</x:v>
      </x:c>
      <x:c r="B14" s="117"/>
      <x:c r="C14" s="122" t="str">
        <x:v>До фильтра exact facilities есть много структурных окон длительностью 3–10+ дней между source и listed target.</x:v>
      </x:c>
      <x:c r="D14" s="122"/>
      <x:c r="E14" s="122"/>
      <x:c r="F14" s="122"/>
      <x:c r="G14" s="77" t="str">
        <x:v>ShadowNAV</x:v>
      </x:c>
      <x:c r="H14" s="117"/>
      <x:c r="I14" s="122" t="str">
        <x:v>Простой median уже отчитавшихся co-holders может объяснить весь результат — тогда ML/агенты не нужны.</x:v>
      </x:c>
      <x:c r="J14" s="122"/>
      <x:c r="K14" s="122"/>
      <x:c r="L14" s="122"/>
    </x:row>
    <x:row r="15" ht="44" customHeight="1">
      <x:c r="A15" s="77" t="str">
        <x:v>Non-listed sources</x:v>
      </x:c>
      <x:c r="B15" s="117"/>
      <x:c r="C15" s="122" t="str">
        <x:v>Такие источники иногда опережают listed targets, но крупные публичные BDC чаще раскрываются первыми.</x:v>
      </x:c>
      <x:c r="D15" s="122"/>
      <x:c r="E15" s="122"/>
      <x:c r="F15" s="122"/>
      <x:c r="G15" s="77" t="str">
        <x:v>ShadowNAV</x:v>
      </x:c>
      <x:c r="H15" s="117"/>
      <x:c r="I15" s="122" t="str">
        <x:v>Target мог продать, погасить или изменить позицию до quarter-end; нужна вероятность persistence.</x:v>
      </x:c>
      <x:c r="J15" s="122"/>
      <x:c r="K15" s="122"/>
      <x:c r="L15" s="122"/>
    </x:row>
    <x:row r="16" ht="44" customHeight="1">
      <x:c r="A16" s="77" t="str">
        <x:v>Архив Японии</x:v>
      </x:c>
      <x:c r="B16" s="117"/>
      <x:c r="C16" s="122" t="str">
        <x:v>Yanoshin historical INDEX responds from 2023, but tested old PDF/XBRL document links returned 404. Underlying numeric content still needs an alternative source.</x:v>
      </x:c>
      <x:c r="D16" s="122"/>
      <x:c r="E16" s="122"/>
      <x:c r="F16" s="122"/>
      <x:c r="G16" s="77" t="str">
        <x:v>Japan</x:v>
      </x:c>
      <x:c r="H16" s="117"/>
      <x:c r="I16" s="122" t="str">
        <x:v>Неофициальный архив может быть неполным, нестабильным или непригодным для перераспространения.</x:v>
      </x:c>
      <x:c r="J16" s="122"/>
      <x:c r="K16" s="122"/>
      <x:c r="L16" s="122"/>
    </x:row>
    <x:row r="17" ht="44" customHeight="1">
      <x:c r="A17" s="77" t="str">
        <x:v>Правило JPX</x:v>
      </x:c>
      <x:c r="B17" s="117"/>
      <x:c r="C17" s="122" t="str">
        <x:v>Мандат Prime подтверждён, но treatment неоднороден: full/summary, grace periods и срочные исключения.</x:v>
      </x:c>
      <x:c r="D17" s="122"/>
      <x:c r="E17" s="122"/>
      <x:c r="F17" s="122"/>
      <x:c r="G17" s="77" t="str">
        <x:v>Japan</x:v>
      </x:c>
      <x:c r="H17" s="117"/>
      <x:c r="I17" s="122" t="str">
        <x:v>Domestic investors могут устранить языковой лаг раньше, чем его увидят дневные цены.</x:v>
      </x:c>
      <x:c r="J17" s="122"/>
      <x:c r="K17" s="122"/>
      <x:c r="L17" s="122"/>
    </x:row>
    <x:row r="18" ht="44" customHeight="1">
      <x:c r="A18" s="77" t="str">
        <x:v>Цены Японии</x:v>
      </x:c>
      <x:c r="B18" s="117"/>
      <x:c r="C18" s="122" t="str">
        <x:v>Бесплатные daily-цены J-Quants подходят для T+1…T+10 на истории, но последние 12 недель недоступны.</x:v>
      </x:c>
      <x:c r="D18" s="122"/>
      <x:c r="E18" s="122"/>
      <x:c r="F18" s="122"/>
      <x:c r="G18" s="77" t="str">
        <x:v>Japan</x:v>
      </x:c>
      <x:c r="H18" s="117"/>
      <x:c r="I18" s="122" t="str">
        <x:v>Различия Prime/Standard могут остаться confounded; без event-level JP/EN timestamps causal story слабая.</x:v>
      </x:c>
      <x:c r="J18" s="122"/>
      <x:c r="K18" s="122"/>
      <x:c r="L18" s="122"/>
    </x:row>
    <x:row r="21">
      <x:c r="A21" s="47" t="str">
        <x:v>Provisional Day 1 decision scores (not alpha probabilities)</x:v>
      </x:c>
      <x:c r="B21" s="47"/>
      <x:c r="C21" s="47"/>
      <x:c r="D21" s="47"/>
      <x:c r="E21" s="47"/>
      <x:c r="F21" s="47"/>
      <x:c r="G21" s="47" t="str">
        <x:v>Следующие обязательные действия</x:v>
      </x:c>
      <x:c r="H21" s="47"/>
      <x:c r="I21" s="47"/>
      <x:c r="J21" s="47"/>
      <x:c r="K21" s="47"/>
      <x:c r="L21" s="47"/>
    </x:row>
    <x:row r="22" ht="38" customHeight="1">
      <x:c r="A22" s="6" t="str">
        <x:v>Track</x:v>
      </x:c>
      <x:c r="B22" s="6" t="str">
        <x:v>Weighted score</x:v>
      </x:c>
      <x:c r="C22" s="6" t="str">
        <x:v>Status</x:v>
      </x:c>
      <x:c r="G22" s="77" t="str">
        <x:v>1</x:v>
      </x:c>
      <x:c r="H22" s="122" t="str">
        <x:v>Use Day1_Reconciliation as canonical status; do not treat preliminary BDC dates or workbook scores as final.</x:v>
      </x:c>
      <x:c r="I22" s="122"/>
      <x:c r="J22" s="122"/>
      <x:c r="K22" s="122"/>
      <x:c r="L22" s="122"/>
    </x:row>
    <x:row r="23" ht="38" customHeight="1">
      <x:c r="A23" t="str">
        <x:v>ShadowNAV</x:v>
      </x:c>
      <x:c r="B23" s="106" t="n">
        <x:f>Decision_Matrix!B15</x:f>
        <x:v>89</x:v>
      </x:c>
      <x:c r="C23" s="110" t="str">
        <x:v>Alive</x:v>
      </x:c>
      <x:c r="G23" s="77" t="str">
        <x:v>2</x:v>
      </x:c>
      <x:c r="H23" s="122" t="str">
        <x:v>Freeze random sample before opening target outcomes.</x:v>
      </x:c>
      <x:c r="I23" s="122"/>
      <x:c r="J23" s="122"/>
      <x:c r="K23" s="122"/>
      <x:c r="L23" s="122"/>
    </x:row>
    <x:row r="24" ht="38" customHeight="1">
      <x:c r="A24" t="str">
        <x:v>Japan Language Wall</x:v>
      </x:c>
      <x:c r="B24" s="106" t="n">
        <x:f>Decision_Matrix!C15</x:f>
        <x:v>82</x:v>
      </x:c>
      <x:c r="C24" s="110" t="str">
        <x:v>Alive</x:v>
      </x:c>
      <x:c r="G24" s="77" t="str">
        <x:v>3</x:v>
      </x:c>
      <x:c r="H24" s="122" t="str">
        <x:v>Japan: market segment + JP/EN timestamp/scope for 50 forecast revisions.</x:v>
      </x:c>
      <x:c r="I24" s="122"/>
      <x:c r="J24" s="122"/>
      <x:c r="K24" s="122"/>
      <x:c r="L24" s="122"/>
    </x:row>
    <x:row r="25" ht="38" customHeight="1">
      <x:c r="G25" s="77" t="str">
        <x:v>4</x:v>
      </x:c>
      <x:c r="H25" s="122" t="str">
        <x:v>Link Japan events older than 12 weeks to J-Quants daily prices.</x:v>
      </x:c>
      <x:c r="I25" s="122"/>
      <x:c r="J25" s="122"/>
      <x:c r="K25" s="122"/>
      <x:c r="L25" s="122"/>
    </x:row>
    <x:row r="26" ht="38" customHeight="1">
      <x:c r="G26" s="77" t="str">
        <x:v>5</x:v>
      </x:c>
      <x:c r="H26" s="122" t="str">
        <x:v>Update Decision_Matrix only after evidence is entered.</x:v>
      </x:c>
      <x:c r="I26" s="122"/>
      <x:c r="J26" s="122"/>
      <x:c r="K26" s="122"/>
      <x:c r="L26" s="122"/>
    </x:row>
    <x:row r="28">
      <x:c r="N28" t="str">
        <x:v>Period</x:v>
      </x:c>
      <x:c r="O28" t="str">
        <x:v>≥3d</x:v>
      </x:c>
      <x:c r="P28" t="str">
        <x:v>≥5d</x:v>
      </x:c>
      <x:c r="Q28" t="str">
        <x:v>≥7d</x:v>
      </x:c>
      <x:c r="R28" t="str">
        <x:v>≥10d</x:v>
      </x:c>
    </x:row>
    <x:row r="29">
      <x:c r="N29" t="str">
        <x:v>2025Q2</x:v>
      </x:c>
      <x:c r="O29" t="n">
        <x:v>52</x:v>
      </x:c>
      <x:c r="P29" t="n">
        <x:v>45</x:v>
      </x:c>
      <x:c r="Q29" t="n">
        <x:v>20</x:v>
      </x:c>
      <x:c r="R29" t="n">
        <x:v>3</x:v>
      </x:c>
    </x:row>
    <x:row r="30">
      <x:c r="N30" t="str">
        <x:v>2025Q3</x:v>
      </x:c>
      <x:c r="O30" t="n">
        <x:v>80</x:v>
      </x:c>
      <x:c r="P30" t="n">
        <x:v>66</x:v>
      </x:c>
      <x:c r="Q30" t="n">
        <x:v>45</x:v>
      </x:c>
      <x:c r="R30" t="n">
        <x:v>28</x:v>
      </x:c>
    </x:row>
    <x:row r="31">
      <x:c r="N31" t="str">
        <x:v>2025Q4</x:v>
      </x:c>
      <x:c r="O31" t="n">
        <x:v>95</x:v>
      </x:c>
      <x:c r="P31" t="n">
        <x:v>90</x:v>
      </x:c>
      <x:c r="Q31" t="n">
        <x:v>79</x:v>
      </x:c>
      <x:c r="R31" t="n">
        <x:v>70</x:v>
      </x:c>
    </x:row>
    <x:row r="32">
      <x:c r="N32" t="str">
        <x:v>2026Q1</x:v>
      </x:c>
      <x:c r="O32" t="n">
        <x:v>68</x:v>
      </x:c>
      <x:c r="P32" t="n">
        <x:v>56</x:v>
      </x:c>
      <x:c r="Q32" t="n">
        <x:v>37</x:v>
      </x:c>
      <x:c r="R32" t="n">
        <x:v>14</x:v>
      </x:c>
    </x:row>
  </x:sheetData>
  <x:mergeCells>
    <x:mergeCell ref="A1:L1"/>
    <x:mergeCell ref="A2:L2"/>
    <x:mergeCell ref="A5:C5"/>
    <x:mergeCell ref="D5:F5"/>
    <x:mergeCell ref="G5:I5"/>
    <x:mergeCell ref="J5:L5"/>
    <x:mergeCell ref="A9:C9"/>
    <x:mergeCell ref="D9:F9"/>
    <x:mergeCell ref="G9:I9"/>
    <x:mergeCell ref="J9:L9"/>
    <x:mergeCell ref="A12:F12"/>
    <x:mergeCell ref="G12:L12"/>
    <x:mergeCell ref="A21:F21"/>
    <x:mergeCell ref="G21:L21"/>
    <x:mergeCell ref="A13:B13"/>
    <x:mergeCell ref="C13:F13"/>
    <x:mergeCell ref="G13:H13"/>
    <x:mergeCell ref="I13:L13"/>
    <x:mergeCell ref="A14:B14"/>
    <x:mergeCell ref="C14:F14"/>
    <x:mergeCell ref="G14:H14"/>
    <x:mergeCell ref="I14:L14"/>
    <x:mergeCell ref="A15:B15"/>
    <x:mergeCell ref="C15:F15"/>
    <x:mergeCell ref="G15:H15"/>
    <x:mergeCell ref="I15:L15"/>
    <x:mergeCell ref="A16:B16"/>
    <x:mergeCell ref="C16:F16"/>
    <x:mergeCell ref="G16:H16"/>
    <x:mergeCell ref="I16:L16"/>
    <x:mergeCell ref="A17:B17"/>
    <x:mergeCell ref="C17:F17"/>
    <x:mergeCell ref="G17:H17"/>
    <x:mergeCell ref="I17:L17"/>
    <x:mergeCell ref="A18:B18"/>
    <x:mergeCell ref="C18:F18"/>
    <x:mergeCell ref="G18:H18"/>
    <x:mergeCell ref="I18:L18"/>
    <x:mergeCell ref="H22:L22"/>
    <x:mergeCell ref="H23:L23"/>
    <x:mergeCell ref="H24:L24"/>
    <x:mergeCell ref="H25:L25"/>
    <x:mergeCell ref="H26:L26"/>
  </x:mergeCells>
  <x:pageMargins left="0.7" right="0.7" top="0.75" bottom="0.75" header="0.3" footer="0.3"/>
  <x:drawing xmlns:r="http://schemas.openxmlformats.org/officeDocument/2006/relationships" r:id="Rcb1c355b908246fb"/>
</x:worksheet>
</file>

<file path=xl/worksheets/sheet2.xml><?xml version="1.0" encoding="utf-8"?>
<x:worksheet xmlns:x="http://schemas.openxmlformats.org/spreadsheetml/2006/main">
  <x:sheetFormatPr defaultRowHeight="15"/>
  <x:cols>
    <x:col min="1" max="1" width="14" hidden="0" customWidth="1"/>
    <x:col min="2" max="2" width="26" hidden="0" customWidth="1"/>
    <x:col min="3" max="3" width="48" hidden="0" customWidth="1"/>
    <x:col min="4" max="4" width="16" hidden="0" customWidth="1"/>
    <x:col min="5" max="5" width="14" hidden="0" customWidth="1"/>
    <x:col min="6" max="6" width="58" hidden="0" customWidth="1"/>
    <x:col min="7" max="7" width="52" hidden="0" customWidth="1"/>
    <x:col min="8" max="8" width="26" hidden="0" customWidth="1"/>
  </x:cols>
  <x:sheetData>
    <x:row r="1">
      <x:c r="A1" s="15" t="str">
        <x:v>72-hour showdown — День 1 tracker</x:v>
      </x:c>
      <x:c r="B1" s="15"/>
      <x:c r="C1" s="15"/>
      <x:c r="D1" s="15"/>
      <x:c r="E1" s="15"/>
      <x:c r="F1" s="15"/>
      <x:c r="G1" s="15"/>
      <x:c r="H1" s="15"/>
    </x:row>
    <x:row r="2">
      <x:c r="A2" s="24" t="str">
        <x:v>Цель: получить факты, которые могут убить ShadowNAV или Japan Language Wall. Никаких agents/UI/fine-tune до прохождения measurement gates.</x:v>
      </x:c>
      <x:c r="B2" s="24"/>
      <x:c r="C2" s="24"/>
      <x:c r="D2" s="24"/>
      <x:c r="E2" s="24"/>
      <x:c r="F2" s="24"/>
      <x:c r="G2" s="24"/>
      <x:c r="H2" s="24"/>
    </x:row>
    <x:row r="4">
      <x:c r="A4" s="6" t="str">
        <x:v>Track</x:v>
      </x:c>
      <x:c r="B4" s="6" t="str">
        <x:v>Workstream</x:v>
      </x:c>
      <x:c r="C4" s="6" t="str">
        <x:v>Day 1 / next task</x:v>
      </x:c>
      <x:c r="D4" s="6" t="str">
        <x:v>Status</x:v>
      </x:c>
      <x:c r="E4" s="6" t="str">
        <x:v>Owner</x:v>
      </x:c>
      <x:c r="F4" s="6" t="str">
        <x:v>Result today</x:v>
      </x:c>
      <x:c r="G4" s="6" t="str">
        <x:v>Next action</x:v>
      </x:c>
      <x:c r="H4" s="6" t="str">
        <x:v>Evidence sheet</x:v>
      </x:c>
    </x:row>
    <x:row r="5">
      <x:c r="A5" s="20" t="str">
        <x:v>ShadowNAV</x:v>
      </x:c>
      <x:c r="B5" s="20" t="str">
        <x:v>Календарь раскрытий</x:v>
      </x:c>
      <x:c r="C5" s="20" t="str">
        <x:v>Собрать 15 listed + 5 non-listed BDC за 4 квартала</x:v>
      </x:c>
      <x:c r="D5" s="20" t="str">
        <x:v>Done</x:v>
      </x:c>
      <x:c r="E5" s="20" t="str">
        <x:v>Assistant</x:v>
      </x:c>
      <x:c r="F5" s="20" t="str">
        <x:v>80 наблюдений; spans 14–42 календарных дня</x:v>
      </x:c>
      <x:c r="G5" s="20" t="str">
        <x:v>Проверить acceptance timestamps и first NAV release</x:v>
      </x:c>
      <x:c r="H5" s="20" t="str">
        <x:v>BDC_Filing_Calendar</x:v>
      </x:c>
    </x:row>
    <x:row r="6">
      <x:c r="A6" s="20" t="str">
        <x:v>ShadowNAV</x:v>
      </x:c>
      <x:c r="B6" s="20" t="str">
        <x:v>Окна source→target</x:v>
      </x:c>
      <x:c r="C6" s="20" t="str">
        <x:v>Посчитать распределение окон до listed target</x:v>
      </x:c>
      <x:c r="D6" s="20" t="str">
        <x:v>Done</x:v>
      </x:c>
      <x:c r="E6" s="20" t="str">
        <x:v>Assistant</x:v>
      </x:c>
      <x:c r="F6" s="20" t="str">
        <x:v>96–112 положительных pair-windows/квартал; 52–95 ≥3 дней</x:v>
      </x:c>
      <x:c r="G6" s="20" t="str">
        <x:v>Фильтровать только exact facilities</x:v>
      </x:c>
      <x:c r="H6" s="20" t="str">
        <x:v>BDC_Window_Summary</x:v>
      </x:c>
    </x:row>
    <x:row r="7">
      <x:c r="A7" s="20" t="str">
        <x:v>ShadowNAV</x:v>
      </x:c>
      <x:c r="B7" s="20" t="str">
        <x:v>Non-listed sensor</x:v>
      </x:c>
      <x:c r="C7" s="20" t="str">
        <x:v>Проверить, часто ли non-listed файлится раньше listed</x:v>
      </x:c>
      <x:c r="D7" s="20" t="str">
        <x:v>Done</x:v>
      </x:c>
      <x:c r="E7" s="20" t="str">
        <x:v>Assistant</x:v>
      </x:c>
      <x:c r="F7" s="20" t="str">
        <x:v>Есть, но заметно реже: 3/10/11/5 окон ≥3 дней по кварталам</x:v>
      </x:c>
      <x:c r="G7" s="20" t="str">
        <x:v>Не строить pitch на non-listed-first без facility overlap</x:v>
      </x:c>
      <x:c r="H7" s="20" t="str">
        <x:v>BDC_Candidate_Windows</x:v>
      </x:c>
    </x:row>
    <x:row r="8">
      <x:c r="A8" s="20" t="str">
        <x:v>ShadowNAV</x:v>
      </x:c>
      <x:c r="B8" s="20" t="str">
        <x:v>Exact facilities</x:v>
      </x:c>
      <x:c r="C8" s="20" t="str">
        <x:v>Найти 20+ общих borrowers и exact same tranches</x:v>
      </x:c>
      <x:c r="D8" s="20" t="str">
        <x:v>Not Started</x:v>
      </x:c>
      <x:c r="E8" s="20" t="str">
        <x:v>User/Friend</x:v>
      </x:c>
      <x:c r="F8" s="20" t="str"/>
      <x:c r="G8" s="20" t="str">
        <x:v>Day 2: вручную 3 пары ранний/поздний BDC</x:v>
      </x:c>
      <x:c r="H8" s="20" t="str">
        <x:v>BDC_Facility_Schema</x:v>
      </x:c>
    </x:row>
    <x:row r="9">
      <x:c r="A9" s="20" t="str">
        <x:v>ShadowNAV</x:v>
      </x:c>
      <x:c r="B9" s="20" t="str">
        <x:v>Manual nowcast</x:v>
      </x:c>
      <x:c r="C9" s="20" t="str">
        <x:v>10 случайных historical source-target predictions vs baseline</x:v>
      </x:c>
      <x:c r="D9" s="20" t="str">
        <x:v>Not Started</x:v>
      </x:c>
      <x:c r="E9" s="20" t="str">
        <x:v>User/Friend</x:v>
      </x:c>
      <x:c r="F9" s="20" t="str"/>
      <x:c r="G9" s="20" t="str">
        <x:v>После exact matching; random sample before outcomes</x:v>
      </x:c>
      <x:c r="H9" s="20" t="str">
        <x:v>BDC_Facility_Schema</x:v>
      </x:c>
    </x:row>
    <x:row r="10">
      <x:c r="A10" s="20" t="str">
        <x:v>ShadowNAV</x:v>
      </x:c>
      <x:c r="B10" s="20" t="str">
        <x:v>PIK / non-accrual</x:v>
      </x:c>
      <x:c r="C10" s="20" t="str">
        <x:v>Проверить categorical propagation</x:v>
      </x:c>
      <x:c r="D10" s="20" t="str">
        <x:v>Not Started</x:v>
      </x:c>
      <x:c r="E10" s="20" t="str">
        <x:v>User/Friend</x:v>
      </x:c>
      <x:c r="F10" s="20" t="str"/>
      <x:c r="G10" s="20" t="str">
        <x:v>Сделать раньше сложной FV-модели</x:v>
      </x:c>
      <x:c r="H10" s="20" t="str">
        <x:v>BDC_Facility_Schema</x:v>
      </x:c>
    </x:row>
    <x:row r="11">
      <x:c r="A11" s="20" t="str">
        <x:v>Japan</x:v>
      </x:c>
      <x:c r="B11" s="20" t="str">
        <x:v>Исторический архив TDnet</x:v>
      </x:c>
      <x:c r="C11" s="20" t="str">
        <x:v>Проверить реальные даты 2023–2025</x:v>
      </x:c>
      <x:c r="D11" s="20" t="str">
        <x:v>Done</x:v>
      </x:c>
      <x:c r="E11" s="20" t="str">
        <x:v>Assistant</x:v>
      </x:c>
      <x:c r="F11" s="20" t="str">
        <x:v>Historical index alive. Codex counted ~4k–6k items/month and ~229–313 forecast-revision titles/month; tested old PDF/XBRL links returned 404.</x:v>
      </x:c>
      <x:c r="G11" s="20" t="str">
        <x:v>Find a reproducible source for old/new forecast numbers (issuer IR, J-Quants statements, mirror/archive); index alone is insufficient.</x:v>
      </x:c>
      <x:c r="H11" s="20" t="str">
        <x:v>Japan_Archive_Test</x:v>
      </x:c>
    </x:row>
    <x:row r="12">
      <x:c r="A12" s="20" t="str">
        <x:v>Japan</x:v>
      </x:c>
      <x:c r="B12" s="20" t="str">
        <x:v>Rule verification</x:v>
      </x:c>
      <x:c r="C12" s="20" t="str">
        <x:v>Зафиксировать scope English mandate Apr-2025</x:v>
      </x:c>
      <x:c r="D12" s="20" t="str">
        <x:v>Done</x:v>
      </x:c>
      <x:c r="E12" s="20" t="str">
        <x:v>Assistant</x:v>
      </x:c>
      <x:c r="F12" s="20" t="str">
        <x:v>Prime: simultaneous JP/EN; summary/excerpt допустимы; grace/urgent exceptions существуют</x:v>
      </x:c>
      <x:c r="G12" s="20" t="str">
        <x:v>Создать event-level treatment intensity</x:v>
      </x:c>
      <x:c r="H12" s="20" t="str">
        <x:v>Sources</x:v>
      </x:c>
    </x:row>
    <x:row r="13">
      <x:c r="A13" s="20" t="str">
        <x:v>Japan</x:v>
      </x:c>
      <x:c r="B13" s="20" t="str">
        <x:v>Forecast-revision sample</x:v>
      </x:c>
      <x:c r="C13" s="20" t="str">
        <x:v>Собрать чистые события и схему extraction</x:v>
      </x:c>
      <x:c r="D13" s="20" t="str">
        <x:v>In Progress</x:v>
      </x:c>
      <x:c r="E13" s="20" t="str">
        <x:v>Assistant</x:v>
      </x:c>
      <x:c r="F13" s="20" t="str">
        <x:v>13 начальных событий с timestamps и японскими titles</x:v>
      </x:c>
      <x:c r="G13" s="20" t="str">
        <x:v>Скачать документы и извлечь old/new guidance</x:v>
      </x:c>
      <x:c r="H13" s="20" t="str">
        <x:v>Japan_Event_Sample</x:v>
      </x:c>
    </x:row>
    <x:row r="14">
      <x:c r="A14" s="20" t="str">
        <x:v>Japan</x:v>
      </x:c>
      <x:c r="B14" s="20" t="str">
        <x:v>Market segment</x:v>
      </x:c>
      <x:c r="C14" s="20" t="str">
        <x:v>Привязать код к Prime/Standard/Growth</x:v>
      </x:c>
      <x:c r="D14" s="20" t="str">
        <x:v>Not Started</x:v>
      </x:c>
      <x:c r="E14" s="20" t="str">
        <x:v>User/Friend</x:v>
      </x:c>
      <x:c r="F14" s="20" t="str"/>
      <x:c r="G14" s="20" t="str">
        <x:v>Через J-Quants listed issue master / JPX</x:v>
      </x:c>
      <x:c r="H14" s="20" t="str">
        <x:v>Japan_Event_Sample</x:v>
      </x:c>
    </x:row>
    <x:row r="15">
      <x:c r="A15" s="20" t="str">
        <x:v>Japan</x:v>
      </x:c>
      <x:c r="B15" s="20" t="str">
        <x:v>English availability</x:v>
      </x:c>
      <x:c r="C15" s="20" t="str">
        <x:v>JP/EN timestamp, full/summary/none</x:v>
      </x:c>
      <x:c r="D15" s="20" t="str">
        <x:v>Not Started</x:v>
      </x:c>
      <x:c r="E15" s="20" t="str">
        <x:v>User/Friend</x:v>
      </x:c>
      <x:c r="F15" s="20" t="str"/>
      <x:c r="G15" s="20" t="str">
        <x:v>Primary treatment field; без него triple-diff невозможен</x:v>
      </x:c>
      <x:c r="H15" s="20" t="str">
        <x:v>Japan_Data_Schema</x:v>
      </x:c>
    </x:row>
    <x:row r="16">
      <x:c r="A16" s="20" t="str">
        <x:v>Japan</x:v>
      </x:c>
      <x:c r="B16" s="20" t="str">
        <x:v>Price linkage</x:v>
      </x:c>
      <x:c r="C16" s="20" t="str">
        <x:v>T0/T+1/T+3/T+5/T+10 daily returns</x:v>
      </x:c>
      <x:c r="D16" s="20" t="str">
        <x:v>Not Started</x:v>
      </x:c>
      <x:c r="E16" s="20" t="str">
        <x:v>User/Friend</x:v>
      </x:c>
      <x:c r="F16" s="20" t="str"/>
      <x:c r="G16" s="20" t="str">
        <x:v>Free J-Quants: использовать события старше 12 недель</x:v>
      </x:c>
      <x:c r="H16" s="20" t="str">
        <x:v>Japan_Data_Schema</x:v>
      </x:c>
    </x:row>
    <x:row r="17">
      <x:c r="A17" s="20" t="str">
        <x:v>Both</x:v>
      </x:c>
      <x:c r="B17" s="20" t="str">
        <x:v>Preregistration</x:v>
      </x:c>
      <x:c r="C17" s="20" t="str">
        <x:v>Записать primary hypotheses и kill criteria</x:v>
      </x:c>
      <x:c r="D17" s="20" t="str">
        <x:v>In Progress</x:v>
      </x:c>
      <x:c r="E17" s="20" t="str">
        <x:v>Both</x:v>
      </x:c>
      <x:c r="F17" s="20" t="str">
        <x:v>Черновые criteria внесены в workbook</x:v>
      </x:c>
      <x:c r="G17" s="20" t="str">
        <x:v>Заморозить до просмотра exact facility/returns</x:v>
      </x:c>
      <x:c r="H17" s="20" t="str">
        <x:v>Decision_Matrix</x:v>
      </x:c>
    </x:row>
    <x:row r="18">
      <x:c r="A18" s="20" t="str">
        <x:v>Both</x:v>
      </x:c>
      <x:c r="B18" s="20" t="str">
        <x:v>No UI / no agents</x:v>
      </x:c>
      <x:c r="C18" s="20" t="str">
        <x:v>Не строить dashboard-продукт до measurement validity</x:v>
      </x:c>
      <x:c r="D18" s="20" t="str">
        <x:v>Done</x:v>
      </x:c>
      <x:c r="E18" s="20" t="str">
        <x:v>Both</x:v>
      </x:c>
      <x:c r="F18" s="20" t="str">
        <x:v>В workbook только исследовательский dashboard</x:v>
      </x:c>
      <x:c r="G18" s="20" t="str">
        <x:v>Следовать правилу</x:v>
      </x:c>
      <x:c r="H18" s="20" t="str">
        <x:v>Dashboard</x:v>
      </x:c>
    </x:row>
  </x:sheetData>
  <x:mergeCells>
    <x:mergeCell ref="A1:H1"/>
    <x:mergeCell ref="A2:H2"/>
  </x:mergeCells>
  <x:conditionalFormatting sqref="D5:D18">
    <x:cfRule type="expression" dxfId="6" priority="1">
      <x:formula>D5="Done"</x:formula>
    </x:cfRule>
    <x:cfRule type="expression" dxfId="7" priority="2">
      <x:formula>D5="In Progress"</x:formula>
    </x:cfRule>
    <x:cfRule type="expression" dxfId="8" priority="3">
      <x:formula>OR(D5="Blocked",D5="Killed")</x:formula>
    </x:cfRule>
  </x:conditionalFormatting>
  <x:dataValidations count="2">
    <x:dataValidation type="list" sqref="D5:D18">
      <x:formula1>"Not Started,In Progress,Done,Blocked,Needs Review,Killed"</x:formula1>
    </x:dataValidation>
    <x:dataValidation type="list" sqref="E5:E18">
      <x:formula1>"Assistant,User,Friend,Both"</x:formula1>
    </x:dataValidation>
  </x:dataValidations>
  <x:pageMargins left="0.7" right="0.7" top="0.75" bottom="0.75" header="0.3" footer="0.3"/>
  <x:tableParts count="1">
    <x:tablePart xmlns:r="http://schemas.openxmlformats.org/officeDocument/2006/relationships" r:id="R6acc83841f074c4b"/>
  </x:tableParts>
</x:worksheet>
</file>

<file path=xl/worksheets/sheet3.xml><?xml version="1.0" encoding="utf-8"?>
<x:worksheet xmlns:x="http://schemas.openxmlformats.org/spreadsheetml/2006/main">
  <x:sheetFormatPr defaultRowHeight="15"/>
  <x:cols>
    <x:col min="1" max="1" width="14" hidden="0" customWidth="1"/>
    <x:col min="2" max="2" width="34" hidden="0" customWidth="1"/>
    <x:col min="3" max="3" width="48" hidden="0" customWidth="1"/>
    <x:col min="4" max="4" width="18" hidden="0" customWidth="1"/>
    <x:col min="5" max="5" width="50" hidden="0" customWidth="1"/>
    <x:col min="6" max="6" width="38" hidden="0" customWidth="1"/>
  </x:cols>
  <x:sheetData>
    <x:row r="1">
      <x:c r="A1" s="15" t="str">
        <x:v>ShadowNAV vs Japan Language Wall — Day 1 decision matrix</x:v>
      </x:c>
      <x:c r="B1" s="15"/>
      <x:c r="C1" s="15"/>
      <x:c r="D1" s="15"/>
      <x:c r="E1" s="15"/>
      <x:c r="F1" s="15"/>
    </x:row>
    <x:row r="2">
      <x:c r="A2" s="24" t="str">
        <x:v>Scores 1–5 are provisional priors, not evidence of alpha. Final choice only after exact facilities/manual nowcasts and Japan treatment/price linkage.</x:v>
      </x:c>
      <x:c r="B2" s="24"/>
      <x:c r="C2" s="24"/>
      <x:c r="D2" s="24"/>
      <x:c r="E2" s="24"/>
      <x:c r="F2" s="24"/>
    </x:row>
    <x:row r="4">
      <x:c r="A4" s="6" t="str">
        <x:v>Criterion</x:v>
      </x:c>
      <x:c r="B4" s="6" t="str">
        <x:v>ShadowNAV score</x:v>
      </x:c>
      <x:c r="C4" s="6" t="str">
        <x:v>Japan score</x:v>
      </x:c>
      <x:c r="D4" s="6" t="str">
        <x:v>Day 1 evidence</x:v>
      </x:c>
      <x:c r="E4" s="6" t="str">
        <x:v>Current lead</x:v>
      </x:c>
      <x:c r="F4" s="6" t="str">
        <x:v>Weight</x:v>
      </x:c>
    </x:row>
    <x:row r="5">
      <x:c r="A5" s="20" t="str">
        <x:v>История данных уже существует</x:v>
      </x:c>
      <x:c r="B5" s="72" t="n">
        <x:v>5</x:v>
      </x:c>
      <x:c r="C5" s="72" t="n">
        <x:v>4</x:v>
      </x:c>
      <x:c r="D5" s="20" t="str">
        <x:v>BDC official SEC history 2022+; Japan unofficial archive tested 2023+</x:v>
      </x:c>
      <x:c r="E5" s="20" t="str">
        <x:v>Both alive</x:v>
      </x:c>
      <x:c r="F5" s="30" t="n">
        <x:v>15</x:v>
      </x:c>
    </x:row>
    <x:row r="6">
      <x:c r="A6" s="20" t="str">
        <x:v>Стоимость данных для pilot</x:v>
      </x:c>
      <x:c r="B6" s="72" t="n">
        <x:v>5</x:v>
      </x:c>
      <x:c r="C6" s="72" t="n">
        <x:v>5</x:v>
      </x:c>
      <x:c r="D6" s="20" t="str">
        <x:v>Core data 0 ₽; Japan intraday/official 5-year archive paid but not required for daily pilot</x:v>
      </x:c>
      <x:c r="E6" s="20" t="str">
        <x:v>Both alive</x:v>
      </x:c>
      <x:c r="F6" s="30" t="n">
        <x:v>10</x:v>
      </x:c>
    </x:row>
    <x:row r="7">
      <x:c r="A7" s="20" t="str">
        <x:v>Чистота будущего ground truth</x:v>
      </x:c>
      <x:c r="B7" s="72" t="n">
        <x:v>5</x:v>
      </x:c>
      <x:c r="C7" s="72" t="n">
        <x:v>4</x:v>
      </x:c>
      <x:c r="D7" s="20" t="str">
        <x:v>Same facility/same quarter mark is strongest; Japan forecast revision gives numeric event truth but causal channel indirect</x:v>
      </x:c>
      <x:c r="E7" s="20" t="str">
        <x:v>ShadowNAV lead</x:v>
      </x:c>
      <x:c r="F7" s="30" t="n">
        <x:v>15</x:v>
      </x:c>
    </x:row>
    <x:row r="8">
      <x:c r="A8" s="20" t="str">
        <x:v>Размер потенциальной выборки</x:v>
      </x:c>
      <x:c r="B8" s="72" t="n">
        <x:v>4</x:v>
      </x:c>
      <x:c r="C8" s="72" t="n">
        <x:v>5</x:v>
      </x:c>
      <x:c r="D8" s="20" t="str">
        <x:v>BDC exact facilities unknown; TDnet flow is large</x:v>
      </x:c>
      <x:c r="E8" s="20" t="str">
        <x:v>Japan lead until facility count known</x:v>
      </x:c>
      <x:c r="F8" s="30" t="n">
        <x:v>15</x:v>
      </x:c>
    </x:row>
    <x:row r="9">
      <x:c r="A9" s="20" t="str">
        <x:v>Прямота медленного участника</x:v>
      </x:c>
      <x:c r="B9" s="72" t="n">
        <x:v>5</x:v>
      </x:c>
      <x:c r="C9" s="72" t="n">
        <x:v>3</x:v>
      </x:c>
      <x:c r="D9" s="20" t="str">
        <x:v>BDC later reporter is observable; Japan foreign-investor language friction must be demonstrated</x:v>
      </x:c>
      <x:c r="E9" s="20" t="str">
        <x:v>ShadowNAV lead</x:v>
      </x:c>
      <x:c r="F9" s="30" t="n">
        <x:v>15</x:v>
      </x:c>
    </x:row>
    <x:row r="10">
      <x:c r="A10" s="20" t="str">
        <x:v>Торговое окно</x:v>
      </x:c>
      <x:c r="B10" s="72" t="n">
        <x:v>4</x:v>
      </x:c>
      <x:c r="C10" s="72" t="n">
        <x:v>4</x:v>
      </x:c>
      <x:c r="D10" s="20" t="str">
        <x:v>BDC calendar has multi-day structural windows; Japan tests T+1…T+10</x:v>
      </x:c>
      <x:c r="E10" s="20" t="str">
        <x:v>Tie</x:v>
      </x:c>
      <x:c r="F10" s="30" t="n">
        <x:v>10</x:v>
      </x:c>
    </x:row>
    <x:row r="11">
      <x:c r="A11" s="20" t="str">
        <x:v>Capacity</x:v>
      </x:c>
      <x:c r="B11" s="72" t="n">
        <x:v>4</x:v>
      </x:c>
      <x:c r="C11" s="72" t="n">
        <x:v>3</x:v>
      </x:c>
      <x:c r="D11" s="20" t="str">
        <x:v>Listed BDC relative-value capacity likely above Japan Standard small-cap book</x:v>
      </x:c>
      <x:c r="E11" s="20" t="str">
        <x:v>ShadowNAV lead</x:v>
      </x:c>
      <x:c r="F11" s="30" t="n">
        <x:v>5</x:v>
      </x:c>
    </x:row>
    <x:row r="12">
      <x:c r="A12" s="20" t="str">
        <x:v>Vendor competition</x:v>
      </x:c>
      <x:c r="B12" s="72" t="n">
        <x:v>2</x:v>
      </x:c>
      <x:c r="C12" s="72" t="n">
        <x:v>4</x:v>
      </x:c>
      <x:c r="D12" s="20" t="str">
        <x:v>Cross-holder marks are sold by vendors; free normalized Standard-market feed appears less commoditized</x:v>
      </x:c>
      <x:c r="E12" s="20" t="str">
        <x:v>Japan lead</x:v>
      </x:c>
      <x:c r="F12" s="30" t="n">
        <x:v>5</x:v>
      </x:c>
    </x:row>
    <x:row r="13">
      <x:c r="A13" s="20" t="str">
        <x:v>Ценность при null</x:v>
      </x:c>
      <x:c r="B13" s="72" t="n">
        <x:v>3</x:v>
      </x:c>
      <x:c r="C13" s="72" t="n">
        <x:v>5</x:v>
      </x:c>
      <x:c r="D13" s="20" t="str">
        <x:v>BDC open/reproducible + appraiser angle; Japan English-normalized TDnet dataset stronger</x:v>
      </x:c>
      <x:c r="E13" s="20" t="str">
        <x:v>Japan lead</x:v>
      </x:c>
      <x:c r="F13" s="30" t="n">
        <x:v>5</x:v>
      </x:c>
    </x:row>
    <x:row r="14">
      <x:c r="A14" s="20" t="str">
        <x:v>Time to first OOS / ground truth</x:v>
      </x:c>
      <x:c r="B14" s="72" t="n">
        <x:v>5</x:v>
      </x:c>
      <x:c r="C14" s="72" t="n">
        <x:v>4</x:v>
      </x:c>
      <x:c r="D14" s="20" t="str">
        <x:v>BDC historical same-quarter outcomes available; Japan historical archive seems available but treatment construction pending</x:v>
      </x:c>
      <x:c r="E14" s="20" t="str">
        <x:v>ShadowNAV slight lead</x:v>
      </x:c>
      <x:c r="F14" s="30" t="n">
        <x:v>5</x:v>
      </x:c>
    </x:row>
    <x:row r="15">
      <x:c r="A15" s="77" t="str">
        <x:v>Weighted score / 100</x:v>
      </x:c>
      <x:c r="B15" s="84" t="n">
        <x:f>SUMPRODUCT(B5:B14,F5:F14)/5</x:f>
        <x:v>89</x:v>
      </x:c>
      <x:c r="C15" s="84" t="n">
        <x:f>SUMPRODUCT(C5:C14,F5:F14)/5</x:f>
        <x:v>82</x:v>
      </x:c>
      <x:c r="D15" s="77"/>
      <x:c r="E15" s="77"/>
      <x:c r="F15" s="77"/>
    </x:row>
    <x:row r="18">
      <x:c r="A18" s="47" t="str">
        <x:v>Pre-registered Day 2 / Day 3 gates</x:v>
      </x:c>
      <x:c r="B18" s="47"/>
      <x:c r="C18" s="47"/>
      <x:c r="D18" s="47"/>
      <x:c r="E18" s="47"/>
      <x:c r="F18" s="47"/>
    </x:row>
    <x:row r="19">
      <x:c r="A19" s="6" t="str">
        <x:v>Track</x:v>
      </x:c>
      <x:c r="B19" s="6" t="str">
        <x:v>Gate</x:v>
      </x:c>
      <x:c r="C19" s="6" t="str">
        <x:v>Threshold</x:v>
      </x:c>
      <x:c r="D19" s="6" t="str">
        <x:v>Status</x:v>
      </x:c>
      <x:c r="E19" s="6" t="str">
        <x:v>Interpretation</x:v>
      </x:c>
      <x:c r="F19" s="6" t="str">
        <x:v>Evidence</x:v>
      </x:c>
    </x:row>
    <x:row r="20">
      <x:c r="A20" s="20" t="str">
        <x:v>ShadowNAV</x:v>
      </x:c>
      <x:c r="B20" s="20" t="str">
        <x:v>Exact facility match precision</x:v>
      </x:c>
      <x:c r="C20" s="20" t="str">
        <x:v>≥95% on locked manual sample</x:v>
      </x:c>
      <x:c r="D20" s="56" t="str">
        <x:v>Pending</x:v>
      </x:c>
      <x:c r="E20" s="56" t="str">
        <x:v>Kill matching pipeline if below threshold</x:v>
      </x:c>
      <x:c r="F20" s="56" t="str"/>
    </x:row>
    <x:row r="21">
      <x:c r="A21" s="20" t="str">
        <x:v>ShadowNAV</x:v>
      </x:c>
      <x:c r="B21" s="20" t="str">
        <x:v>Usable historical forecast observations</x:v>
      </x:c>
      <x:c r="C21" s="20" t="str">
        <x:v>Enough for power; target ≥1,000 or explicit lower-power design</x:v>
      </x:c>
      <x:c r="D21" s="56" t="str">
        <x:v>Pending</x:v>
      </x:c>
      <x:c r="E21" s="56" t="str">
        <x:v>Do not use match percentage alone</x:v>
      </x:c>
      <x:c r="F21" s="56" t="str"/>
    </x:row>
    <x:row r="22">
      <x:c r="A22" s="20" t="str">
        <x:v>ShadowNAV</x:v>
      </x:c>
      <x:c r="B22" s="20" t="str">
        <x:v>Manual nowcast vs baseline</x:v>
      </x:c>
      <x:c r="C22" s="20" t="str">
        <x:v>Random 10 cases; model/median must improve error</x:v>
      </x:c>
      <x:c r="D22" s="56" t="str">
        <x:v>Pending</x:v>
      </x:c>
      <x:c r="E22" s="56" t="str">
        <x:v>Random selection before opening target outcomes</x:v>
      </x:c>
      <x:c r="F22" s="56" t="str"/>
    </x:row>
    <x:row r="23">
      <x:c r="A23" s="20" t="str">
        <x:v>ShadowNAV</x:v>
      </x:c>
      <x:c r="B23" s="20" t="str">
        <x:v>Reporter-order placebo</x:v>
      </x:c>
      <x:c r="C23" s="20" t="str">
        <x:v>Shuffled order must not work</x:v>
      </x:c>
      <x:c r="D23" s="56" t="str">
        <x:v>Pending</x:v>
      </x:c>
      <x:c r="E23" s="56" t="str">
        <x:v>Leakage check</x:v>
      </x:c>
      <x:c r="F23" s="56" t="str"/>
    </x:row>
    <x:row r="24">
      <x:c r="A24" s="20" t="str">
        <x:v>ShadowNAV</x:v>
      </x:c>
      <x:c r="B24" s="20" t="str">
        <x:v>PIK/non-accrual propagation</x:v>
      </x:c>
      <x:c r="C24" s="20" t="str">
        <x:v>Stable across managers/quarters</x:v>
      </x:c>
      <x:c r="D24" s="56" t="str">
        <x:v>Pending</x:v>
      </x:c>
      <x:c r="E24" s="56" t="str">
        <x:v>May become primary product even if marks are noisy</x:v>
      </x:c>
      <x:c r="F24" s="56" t="str"/>
    </x:row>
    <x:row r="25">
      <x:c r="A25" s="20" t="str">
        <x:v>Japan</x:v>
      </x:c>
      <x:c r="B25" s="20" t="str">
        <x:v>Archive depth</x:v>
      </x:c>
      <x:c r="C25" s="20" t="str">
        <x:v>≥12 months with timestamps/docs OR explicit live-only decision</x:v>
      </x:c>
      <x:c r="D25" s="56" t="str">
        <x:v>Partially passed</x:v>
      </x:c>
      <x:c r="E25" s="56" t="str">
        <x:v>Yanoshin dates 2023–2025 respond</x:v>
      </x:c>
      <x:c r="F25" s="56" t="str"/>
    </x:row>
    <x:row r="26">
      <x:c r="A26" s="20" t="str">
        <x:v>Japan</x:v>
      </x:c>
      <x:c r="B26" s="20" t="str">
        <x:v>Event-level treatment</x:v>
      </x:c>
      <x:c r="C26" s="20" t="str">
        <x:v>JP/EN timestamp and full/summary/none reliably measurable</x:v>
      </x:c>
      <x:c r="D26" s="56" t="str">
        <x:v>Pending</x:v>
      </x:c>
      <x:c r="E26" s="56" t="str">
        <x:v>Without it triple-diff fails</x:v>
      </x:c>
      <x:c r="F26" s="56" t="str"/>
    </x:row>
    <x:row r="27">
      <x:c r="A27" s="20" t="str">
        <x:v>Japan</x:v>
      </x:c>
      <x:c r="B27" s="20" t="str">
        <x:v>Clean forecast revisions</x:v>
      </x:c>
      <x:c r="C27" s="20" t="str">
        <x:v>≥50 seed events; old/new values extractable</x:v>
      </x:c>
      <x:c r="D27" s="56" t="str">
        <x:v>Pending</x:v>
      </x:c>
      <x:c r="E27" s="56" t="str">
        <x:v>Start with one event class only</x:v>
      </x:c>
      <x:c r="F27" s="56" t="str"/>
    </x:row>
    <x:row r="28">
      <x:c r="A28" s="20" t="str">
        <x:v>Japan</x:v>
      </x:c>
      <x:c r="B28" s="20" t="str">
        <x:v>Daily price linkage</x:v>
      </x:c>
      <x:c r="C28" s="20" t="str">
        <x:v>T0/T+1/T+3/T+5/T+10 for events older than 12 weeks</x:v>
      </x:c>
      <x:c r="D28" s="56" t="str">
        <x:v>Pending</x:v>
      </x:c>
      <x:c r="E28" s="56" t="str">
        <x:v>Free J-Quants is delayed</x:v>
      </x:c>
      <x:c r="F28" s="56" t="str"/>
    </x:row>
    <x:row r="29">
      <x:c r="A29" s="20" t="str">
        <x:v>Japan</x:v>
      </x:c>
      <x:c r="B29" s="20" t="str">
        <x:v>Mechanism gradient</x:v>
      </x:c>
      <x:c r="C29" s="20" t="str">
        <x:v>Effect stronger with foreign ownership / prior English lag</x:v>
      </x:c>
      <x:c r="D29" s="56" t="str">
        <x:v>Pending</x:v>
      </x:c>
      <x:c r="E29" s="56" t="str">
        <x:v>If absent, language causal story weakens</x:v>
      </x:c>
      <x:c r="F29" s="56" t="str"/>
    </x:row>
  </x:sheetData>
  <x:mergeCells>
    <x:mergeCell ref="A1:F1"/>
    <x:mergeCell ref="A2:F2"/>
    <x:mergeCell ref="A18:F18"/>
  </x:mergeCells>
  <x:conditionalFormatting sqref="B5:C14">
    <x:cfRule type="colorScale" priority="1">
      <x:colorScale>
        <x:cfvo type="min"/>
        <x:cfvo type="percentile" val="50"/>
        <x:cfvo type="max"/>
        <x:color rgb="FFFEE2E2"/>
        <x:color rgb="FFFEF3C7"/>
        <x:color rgb="FFDCFCE7"/>
      </x:colorScale>
    </x:cfRule>
  </x:conditionalFormatting>
  <x:dataValidations count="1">
    <x:dataValidation type="list" sqref="D20:D29">
      <x:formula1>"Pending,Partially passed,Passed,Failed,Killed"</x:formula1>
    </x:dataValidation>
  </x:dataValidations>
  <x:pageMargins left="0.7" right="0.7" top="0.75" bottom="0.75" header="0.3" footer="0.3"/>
  <x:tableParts count="1">
    <x:tablePart xmlns:r="http://schemas.openxmlformats.org/officeDocument/2006/relationships" r:id="R0009152092b34baa"/>
  </x:tableParts>
</x:worksheet>
</file>

<file path=xl/worksheets/sheet4.xml><?xml version="1.0" encoding="utf-8"?>
<x:worksheet xmlns:x="http://schemas.openxmlformats.org/spreadsheetml/2006/main">
  <x:sheetFormatPr defaultRowHeight="15"/>
  <x:cols>
    <x:col min="1" max="1" width="10" hidden="0" customWidth="1"/>
    <x:col min="2" max="2" width="14" hidden="0" customWidth="1"/>
    <x:col min="3" max="3" width="34" hidden="0" customWidth="1"/>
    <x:col min="4" max="4" width="24" hidden="0" customWidth="1"/>
    <x:col min="5" max="5" width="14" hidden="0" customWidth="1"/>
    <x:col min="6" max="6" width="20" hidden="0" customWidth="1"/>
    <x:col min="7" max="7" width="38" hidden="0" customWidth="1"/>
  </x:cols>
  <x:sheetData>
    <x:row r="1">
      <x:c r="A1" s="15" t="str">
        <x:v>ShadowNAV — пилотная вселенная BDC</x:v>
      </x:c>
      <x:c r="B1" s="15"/>
      <x:c r="C1" s="15"/>
      <x:c r="D1" s="15"/>
      <x:c r="E1" s="15"/>
      <x:c r="F1" s="15"/>
      <x:c r="G1" s="15"/>
    </x:row>
    <x:row r="2">
      <x:c r="A2" s="24" t="str">
        <x:v>Цель Day 1: проверить порядок раскрытий. Это НЕ финальный universe и НЕ доказательство exact facility overlap.</x:v>
      </x:c>
      <x:c r="B2" s="24" t="str">
        <x:v>Цель Day 1: проверить порядок раскрытий. Это НЕ финальный universe и НЕ доказательство exact facility overlap.</x:v>
      </x:c>
      <x:c r="C2" s="24" t="str">
        <x:v>Цель Day 1: проверить порядок раскрытий. Это НЕ финальный universe и НЕ доказательство exact facility overlap.</x:v>
      </x:c>
      <x:c r="D2" s="24" t="str">
        <x:v>Цель Day 1: проверить порядок раскрытий. Это НЕ финальный universe и НЕ доказательство exact facility overlap.</x:v>
      </x:c>
      <x:c r="E2" s="24" t="str">
        <x:v>Цель Day 1: проверить порядок раскрытий. Это НЕ финальный universe и НЕ доказательство exact facility overlap.</x:v>
      </x:c>
      <x:c r="F2" s="24" t="str">
        <x:v>Цель Day 1: проверить порядок раскрытий. Это НЕ финальный universe и НЕ доказательство exact facility overlap.</x:v>
      </x:c>
      <x:c r="G2" s="24" t="str">
        <x:v>Цель Day 1: проверить порядок раскрытий. Это НЕ финальный universe и НЕ доказательство exact facility overlap.</x:v>
      </x:c>
    </x:row>
    <x:row r="4">
      <x:c r="A4" s="6" t="str">
        <x:v>Ticker</x:v>
      </x:c>
      <x:c r="B4" s="6" t="str">
        <x:v>CIK</x:v>
      </x:c>
      <x:c r="C4" s="6" t="str">
        <x:v>Registrant</x:v>
      </x:c>
      <x:c r="D4" s="6" t="str">
        <x:v>Manager</x:v>
      </x:c>
      <x:c r="E4" s="6" t="str">
        <x:v>Listing status</x:v>
      </x:c>
      <x:c r="F4" s="6" t="str">
        <x:v>Роль в пилоте</x:v>
      </x:c>
      <x:c r="G4" s="6" t="str">
        <x:v>Day 1 note</x:v>
      </x:c>
    </x:row>
    <x:row r="5">
      <x:c r="A5" s="32" t="str">
        <x:v>ARCC</x:v>
      </x:c>
      <x:c r="B5" s="33" t="n">
        <x:v>1287750</x:v>
      </x:c>
      <x:c r="C5" s="20" t="str">
        <x:v>Ares Capital Corporation</x:v>
      </x:c>
      <x:c r="D5" s="20" t="str">
        <x:v>Ares</x:v>
      </x:c>
      <x:c r="E5" s="20" t="str">
        <x:v>Listed</x:v>
      </x:c>
      <x:c r="F5" s="20" t="str">
        <x:v>Primary source/target</x:v>
      </x:c>
      <x:c r="G5" s="20" t="str">
        <x:v>Systematically early filer in pilot</x:v>
      </x:c>
    </x:row>
    <x:row r="6">
      <x:c r="A6" s="32" t="str">
        <x:v>FSK</x:v>
      </x:c>
      <x:c r="B6" s="33" t="n">
        <x:v>1422183</x:v>
      </x:c>
      <x:c r="C6" s="20" t="str">
        <x:v>FS KKR Capital Corp.</x:v>
      </x:c>
      <x:c r="D6" s="20" t="str">
        <x:v>FS Investments / KKR</x:v>
      </x:c>
      <x:c r="E6" s="20" t="str">
        <x:v>Listed</x:v>
      </x:c>
      <x:c r="F6" s="20" t="str">
        <x:v>Source/target</x:v>
      </x:c>
      <x:c r="G6" s="20" t="str"/>
    </x:row>
    <x:row r="7">
      <x:c r="A7" s="32" t="str">
        <x:v>OBDC</x:v>
      </x:c>
      <x:c r="B7" s="33" t="n">
        <x:v>1655888</x:v>
      </x:c>
      <x:c r="C7" s="20" t="str">
        <x:v>Blue Owl Capital Corporation</x:v>
      </x:c>
      <x:c r="D7" s="20" t="str">
        <x:v>Blue Owl</x:v>
      </x:c>
      <x:c r="E7" s="20" t="str">
        <x:v>Listed</x:v>
      </x:c>
      <x:c r="F7" s="20" t="str">
        <x:v>Source/target</x:v>
      </x:c>
      <x:c r="G7" s="20" t="str"/>
    </x:row>
    <x:row r="8">
      <x:c r="A8" s="32" t="str">
        <x:v>BXSL</x:v>
      </x:c>
      <x:c r="B8" s="33" t="n">
        <x:v>1736035</x:v>
      </x:c>
      <x:c r="C8" s="20" t="str">
        <x:v>Blackstone Secured Lending Fund</x:v>
      </x:c>
      <x:c r="D8" s="20" t="str">
        <x:v>Blackstone</x:v>
      </x:c>
      <x:c r="E8" s="20" t="str">
        <x:v>Listed</x:v>
      </x:c>
      <x:c r="F8" s="20" t="str">
        <x:v>Source/target</x:v>
      </x:c>
      <x:c r="G8" s="20" t="str"/>
    </x:row>
    <x:row r="9">
      <x:c r="A9" s="32" t="str">
        <x:v>MAIN</x:v>
      </x:c>
      <x:c r="B9" s="33" t="n">
        <x:v>1396440</x:v>
      </x:c>
      <x:c r="C9" s="20" t="str">
        <x:v>Main Street Capital Corporation</x:v>
      </x:c>
      <x:c r="D9" s="20" t="str">
        <x:v>Main Street</x:v>
      </x:c>
      <x:c r="E9" s="20" t="str">
        <x:v>Listed</x:v>
      </x:c>
      <x:c r="F9" s="20" t="str">
        <x:v>Source/target</x:v>
      </x:c>
      <x:c r="G9" s="20" t="str"/>
    </x:row>
    <x:row r="10">
      <x:c r="A10" s="32" t="str">
        <x:v>GBDC</x:v>
      </x:c>
      <x:c r="B10" s="33" t="n">
        <x:v>1476765</x:v>
      </x:c>
      <x:c r="C10" s="20" t="str">
        <x:v>Golub Capital BDC, Inc.</x:v>
      </x:c>
      <x:c r="D10" s="20" t="str">
        <x:v>Golub Capital</x:v>
      </x:c>
      <x:c r="E10" s="20" t="str">
        <x:v>Listed</x:v>
      </x:c>
      <x:c r="F10" s="20" t="str">
        <x:v>Source/target</x:v>
      </x:c>
      <x:c r="G10" s="20" t="str"/>
    </x:row>
    <x:row r="11">
      <x:c r="A11" s="32" t="str">
        <x:v>TSLX</x:v>
      </x:c>
      <x:c r="B11" s="33" t="n">
        <x:v>1508655</x:v>
      </x:c>
      <x:c r="C11" s="20" t="str">
        <x:v>Sixth Street Specialty Lending, Inc.</x:v>
      </x:c>
      <x:c r="D11" s="20" t="str">
        <x:v>Sixth Street</x:v>
      </x:c>
      <x:c r="E11" s="20" t="str">
        <x:v>Listed</x:v>
      </x:c>
      <x:c r="F11" s="20" t="str">
        <x:v>Source/target</x:v>
      </x:c>
      <x:c r="G11" s="20" t="str">
        <x:v>Often early filer</x:v>
      </x:c>
    </x:row>
    <x:row r="12">
      <x:c r="A12" s="32" t="str">
        <x:v>HTGC</x:v>
      </x:c>
      <x:c r="B12" s="33" t="n">
        <x:v>1280784</x:v>
      </x:c>
      <x:c r="C12" s="20" t="str">
        <x:v>Hercules Capital, Inc.</x:v>
      </x:c>
      <x:c r="D12" s="20" t="str">
        <x:v>Hercules</x:v>
      </x:c>
      <x:c r="E12" s="20" t="str">
        <x:v>Listed</x:v>
      </x:c>
      <x:c r="F12" s="20" t="str">
        <x:v>Source/target</x:v>
      </x:c>
      <x:c r="G12" s="20" t="str">
        <x:v>Often early filer</x:v>
      </x:c>
    </x:row>
    <x:row r="13">
      <x:c r="A13" s="32" t="str">
        <x:v>CSWC</x:v>
      </x:c>
      <x:c r="B13" s="33" t="n">
        <x:v>17313</x:v>
      </x:c>
      <x:c r="C13" s="20" t="str">
        <x:v>Capital Southwest Corporation</x:v>
      </x:c>
      <x:c r="D13" s="20" t="str">
        <x:v>Capital Southwest</x:v>
      </x:c>
      <x:c r="E13" s="20" t="str">
        <x:v>Listed</x:v>
      </x:c>
      <x:c r="F13" s="20" t="str">
        <x:v>Source/target</x:v>
      </x:c>
      <x:c r="G13" s="20" t="str">
        <x:v>Reporting order is volatile</x:v>
      </x:c>
    </x:row>
    <x:row r="14">
      <x:c r="A14" s="32" t="str">
        <x:v>CGBD</x:v>
      </x:c>
      <x:c r="B14" s="33" t="n">
        <x:v>1544206</x:v>
      </x:c>
      <x:c r="C14" s="20" t="str">
        <x:v>Carlyle Secured Lending, Inc.</x:v>
      </x:c>
      <x:c r="D14" s="20" t="str">
        <x:v>Carlyle</x:v>
      </x:c>
      <x:c r="E14" s="20" t="str">
        <x:v>Listed</x:v>
      </x:c>
      <x:c r="F14" s="20" t="str">
        <x:v>Source/target</x:v>
      </x:c>
      <x:c r="G14" s="20" t="str"/>
    </x:row>
    <x:row r="15">
      <x:c r="A15" s="32" t="str">
        <x:v>MFIC</x:v>
      </x:c>
      <x:c r="B15" s="33" t="n">
        <x:v>1278752</x:v>
      </x:c>
      <x:c r="C15" s="20" t="str">
        <x:v>MidCap Financial Investment Corporation</x:v>
      </x:c>
      <x:c r="D15" s="20" t="str">
        <x:v>MidCap / Apollo</x:v>
      </x:c>
      <x:c r="E15" s="20" t="str">
        <x:v>Listed</x:v>
      </x:c>
      <x:c r="F15" s="20" t="str">
        <x:v>Source/target</x:v>
      </x:c>
      <x:c r="G15" s="20" t="str"/>
    </x:row>
    <x:row r="16">
      <x:c r="A16" s="32" t="str">
        <x:v>NMFC</x:v>
      </x:c>
      <x:c r="B16" s="33" t="n">
        <x:v>1496099</x:v>
      </x:c>
      <x:c r="C16" s="20" t="str">
        <x:v>New Mountain Finance Corporation</x:v>
      </x:c>
      <x:c r="D16" s="20" t="str">
        <x:v>New Mountain</x:v>
      </x:c>
      <x:c r="E16" s="20" t="str">
        <x:v>Listed</x:v>
      </x:c>
      <x:c r="F16" s="20" t="str">
        <x:v>Source/target</x:v>
      </x:c>
      <x:c r="G16" s="20" t="str"/>
    </x:row>
    <x:row r="17">
      <x:c r="A17" s="32" t="str">
        <x:v>OCSL</x:v>
      </x:c>
      <x:c r="B17" s="33" t="n">
        <x:v>1414932</x:v>
      </x:c>
      <x:c r="C17" s="20" t="str">
        <x:v>Oaktree Specialty Lending Corporation</x:v>
      </x:c>
      <x:c r="D17" s="20" t="str">
        <x:v>Oaktree</x:v>
      </x:c>
      <x:c r="E17" s="20" t="str">
        <x:v>Listed</x:v>
      </x:c>
      <x:c r="F17" s="20" t="str">
        <x:v>Source/target</x:v>
      </x:c>
      <x:c r="G17" s="20" t="str"/>
    </x:row>
    <x:row r="18">
      <x:c r="A18" s="32" t="str">
        <x:v>BCSF</x:v>
      </x:c>
      <x:c r="B18" s="33" t="n">
        <x:v>1655050</x:v>
      </x:c>
      <x:c r="C18" s="20" t="str">
        <x:v>Bain Capital Specialty Finance, Inc.</x:v>
      </x:c>
      <x:c r="D18" s="20" t="str">
        <x:v>Bain Capital</x:v>
      </x:c>
      <x:c r="E18" s="20" t="str">
        <x:v>Listed</x:v>
      </x:c>
      <x:c r="F18" s="20" t="str">
        <x:v>Source/target</x:v>
      </x:c>
      <x:c r="G18" s="20" t="str"/>
    </x:row>
    <x:row r="19">
      <x:c r="A19" s="32" t="str">
        <x:v>CION</x:v>
      </x:c>
      <x:c r="B19" s="33" t="n">
        <x:v>1534254</x:v>
      </x:c>
      <x:c r="C19" s="20" t="str">
        <x:v>CION Investment Corporation</x:v>
      </x:c>
      <x:c r="D19" s="20" t="str">
        <x:v>CION Investment Management</x:v>
      </x:c>
      <x:c r="E19" s="20" t="str">
        <x:v>Listed</x:v>
      </x:c>
      <x:c r="F19" s="20" t="str">
        <x:v>Source/target</x:v>
      </x:c>
      <x:c r="G19" s="20" t="str"/>
    </x:row>
    <x:row r="20">
      <x:c r="A20" s="32" t="str">
        <x:v>BCRED</x:v>
      </x:c>
      <x:c r="B20" s="33" t="n">
        <x:v>1803498</x:v>
      </x:c>
      <x:c r="C20" s="20" t="str">
        <x:v>Blackstone Private Credit Fund</x:v>
      </x:c>
      <x:c r="D20" s="20" t="str">
        <x:v>Blackstone</x:v>
      </x:c>
      <x:c r="E20" s="20" t="str">
        <x:v>Non-listed</x:v>
      </x:c>
      <x:c r="F20" s="20" t="str">
        <x:v>Source only</x:v>
      </x:c>
      <x:c r="G20" s="20" t="str">
        <x:v>Usually later than large listed BDCs in pilot</x:v>
      </x:c>
    </x:row>
    <x:row r="21">
      <x:c r="A21" s="32" t="str">
        <x:v>OCIC</x:v>
      </x:c>
      <x:c r="B21" s="33" t="n">
        <x:v>1812554</x:v>
      </x:c>
      <x:c r="C21" s="20" t="str">
        <x:v>Blue Owl Credit Income Corp.</x:v>
      </x:c>
      <x:c r="D21" s="20" t="str">
        <x:v>Blue Owl</x:v>
      </x:c>
      <x:c r="E21" s="20" t="str">
        <x:v>Non-listed</x:v>
      </x:c>
      <x:c r="F21" s="20" t="str">
        <x:v>Source only</x:v>
      </x:c>
      <x:c r="G21" s="20" t="str">
        <x:v>Some early windows exist</x:v>
      </x:c>
    </x:row>
    <x:row r="22">
      <x:c r="A22" s="32" t="str">
        <x:v>ADS</x:v>
      </x:c>
      <x:c r="B22" s="33" t="n">
        <x:v>1837532</x:v>
      </x:c>
      <x:c r="C22" s="20" t="str">
        <x:v>Apollo Debt Solutions BDC</x:v>
      </x:c>
      <x:c r="D22" s="20" t="str">
        <x:v>Apollo</x:v>
      </x:c>
      <x:c r="E22" s="20" t="str">
        <x:v>Non-listed</x:v>
      </x:c>
      <x:c r="F22" s="20" t="str">
        <x:v>Source only</x:v>
      </x:c>
      <x:c r="G22" s="20" t="str">
        <x:v>Some early windows exist</x:v>
      </x:c>
    </x:row>
    <x:row r="23">
      <x:c r="A23" s="32" t="str">
        <x:v>ASIF</x:v>
      </x:c>
      <x:c r="B23" s="33" t="n">
        <x:v>1918712</x:v>
      </x:c>
      <x:c r="C23" s="20" t="str">
        <x:v>Ares Strategic Income Fund</x:v>
      </x:c>
      <x:c r="D23" s="20" t="str">
        <x:v>Ares</x:v>
      </x:c>
      <x:c r="E23" s="20" t="str">
        <x:v>Non-listed</x:v>
      </x:c>
      <x:c r="F23" s="20" t="str">
        <x:v>Source only</x:v>
      </x:c>
      <x:c r="G23" s="20" t="str">
        <x:v>Some early windows exist</x:v>
      </x:c>
    </x:row>
    <x:row r="24">
      <x:c r="A24" s="32" t="str">
        <x:v>GCP</x:v>
      </x:c>
      <x:c r="B24" s="33" t="n">
        <x:v>1930087</x:v>
      </x:c>
      <x:c r="C24" s="20" t="str">
        <x:v>Golub Capital Private Credit Fund</x:v>
      </x:c>
      <x:c r="D24" s="20" t="str">
        <x:v>Golub Capital</x:v>
      </x:c>
      <x:c r="E24" s="20" t="str">
        <x:v>Non-listed</x:v>
      </x:c>
      <x:c r="F24" s="20" t="str">
        <x:v>Source only</x:v>
      </x:c>
      <x:c r="G24" s="20" t="str">
        <x:v>Manual chronology review required for some periods</x:v>
      </x:c>
    </x:row>
  </x:sheetData>
  <x:mergeCells>
    <x:mergeCell ref="A1:G1"/>
    <x:mergeCell ref="A2:G2"/>
  </x:mergeCells>
  <x:conditionalFormatting sqref="E5:E24">
    <x:cfRule type="expression" dxfId="0" priority="1">
      <x:formula>E5="Listed"</x:formula>
    </x:cfRule>
    <x:cfRule type="expression" dxfId="1" priority="2">
      <x:formula>E5="Non-listed"</x:formula>
    </x:cfRule>
  </x:conditionalFormatting>
  <x:pageMargins left="0.7" right="0.7" top="0.75" bottom="0.75" header="0.3" footer="0.3"/>
  <x:tableParts count="1">
    <x:tablePart xmlns:r="http://schemas.openxmlformats.org/officeDocument/2006/relationships" r:id="Rad7b3d0e25f44df6"/>
  </x:tableParts>
</x:worksheet>
</file>

<file path=xl/worksheets/sheet5.xml><?xml version="1.0" encoding="utf-8"?>
<x:worksheet xmlns:x="http://schemas.openxmlformats.org/spreadsheetml/2006/main">
  <x:sheetFormatPr defaultRowHeight="15"/>
  <x:cols>
    <x:col min="1" max="1" width="10" hidden="0" customWidth="1"/>
    <x:col min="2" max="2" width="12" hidden="0" customWidth="1"/>
    <x:col min="3" max="3" width="9" hidden="0" customWidth="1"/>
    <x:col min="4" max="4" width="12" hidden="0" customWidth="1"/>
    <x:col min="5" max="5" width="22" hidden="0" customWidth="1"/>
    <x:col min="6" max="6" width="14" hidden="0" customWidth="1"/>
    <x:col min="7" max="7" width="12" hidden="0" customWidth="1"/>
    <x:col min="8" max="8" width="10" hidden="0" customWidth="1"/>
    <x:col min="9" max="9" width="14" hidden="0" customWidth="1"/>
    <x:col min="10" max="10" width="12" hidden="0" customWidth="1"/>
    <x:col min="11" max="11" width="11" hidden="0" customWidth="1"/>
    <x:col min="12" max="12" width="16" hidden="0" customWidth="1"/>
    <x:col min="13" max="13" width="42" hidden="0" customWidth="1"/>
    <x:col min="14" max="14" width="50" hidden="0" customWidth="1"/>
  </x:cols>
  <x:sheetData>
    <x:row r="1">
      <x:c r="A1" s="15" t="str">
        <x:v>ShadowNAV Day 1 — календарь первого публичного раскрытия BDC</x:v>
      </x:c>
      <x:c r="B1" s="15"/>
      <x:c r="C1" s="15"/>
      <x:c r="D1" s="15"/>
      <x:c r="E1" s="15"/>
      <x:c r="F1" s="15"/>
      <x:c r="G1" s="15"/>
      <x:c r="H1" s="15"/>
      <x:c r="I1" s="15"/>
      <x:c r="J1" s="15"/>
      <x:c r="K1" s="15"/>
      <x:c r="L1" s="15"/>
      <x:c r="M1" s="15"/>
      <x:c r="N1" s="15"/>
    </x:row>
    <x:row r="2">
      <x:c r="A2" s="24" t="str">
        <x:v>SUPERSEDED WARNING: several heuristic 8-K dates were scheduling/dividend announcements, not results (e.g., OBDC 2025Q2 07-01; GBDC 2025Q2 07-07). Use Codex reporting_order.csv and verify first RESULTS/NAV disclosure by 8-K Item 2.02/EX-99/IR release + acceptance timestamp.</x:v>
      </x:c>
      <x:c r="B2" s="24"/>
      <x:c r="C2" s="24"/>
      <x:c r="D2" s="24"/>
      <x:c r="E2" s="24"/>
      <x:c r="F2" s="24"/>
      <x:c r="G2" s="24"/>
      <x:c r="H2" s="24"/>
      <x:c r="I2" s="24"/>
      <x:c r="J2" s="24"/>
      <x:c r="K2" s="24"/>
      <x:c r="L2" s="24"/>
      <x:c r="M2" s="24"/>
      <x:c r="N2" s="24"/>
    </x:row>
    <x:row r="4">
      <x:c r="A4" s="6" t="str">
        <x:v>Period</x:v>
      </x:c>
      <x:c r="B4" s="6" t="str">
        <x:v>Period end</x:v>
      </x:c>
      <x:c r="C4" s="6" t="str">
        <x:v>Ticker</x:v>
      </x:c>
      <x:c r="D4" s="6" t="str">
        <x:v>Listing</x:v>
      </x:c>
      <x:c r="E4" s="6" t="str">
        <x:v>Manager</x:v>
      </x:c>
      <x:c r="F4" s="6" t="str">
        <x:v>First public date</x:v>
      </x:c>
      <x:c r="G4" s="6" t="str">
        <x:v>First public time</x:v>
      </x:c>
      <x:c r="H4" s="6" t="str">
        <x:v>First form</x:v>
      </x:c>
      <x:c r="I4" s="6" t="str">
        <x:v>Periodic filing date</x:v>
      </x:c>
      <x:c r="J4" s="6" t="str">
        <x:v>Lead vs periodic (days)</x:v>
      </x:c>
      <x:c r="K4" s="6" t="str">
        <x:v>Confidence</x:v>
      </x:c>
      <x:c r="L4" s="6" t="str">
        <x:v>Timestamp verified</x:v>
      </x:c>
      <x:c r="M4" s="6" t="str">
        <x:v>Notes</x:v>
      </x:c>
      <x:c r="N4" s="6" t="str">
        <x:v>Source URL</x:v>
      </x:c>
    </x:row>
    <x:row r="5">
      <x:c r="A5" s="20" t="str">
        <x:v>2025Q2</x:v>
      </x:c>
      <x:c r="B5" s="40" t="n">
        <x:v>45838</x:v>
      </x:c>
      <x:c r="C5" s="20" t="str">
        <x:v>ARCC</x:v>
      </x:c>
      <x:c r="D5" s="20" t="str">
        <x:v>Listed</x:v>
      </x:c>
      <x:c r="E5" s="20" t="str">
        <x:v>Ares</x:v>
      </x:c>
      <x:c r="F5" s="40" t="n">
        <x:v>45867</x:v>
      </x:c>
      <x:c r="G5" s="20"/>
      <x:c r="H5" s="20" t="str">
        <x:v>8-K</x:v>
      </x:c>
      <x:c r="I5" s="40" t="n">
        <x:v>45867</x:v>
      </x:c>
      <x:c r="J5" s="41" t="n">
        <x:v>0</x:v>
      </x:c>
      <x:c r="K5" s="20" t="str">
        <x:v>Medium</x:v>
      </x:c>
      <x:c r="L5" s="20" t="str">
        <x:v>Нет</x:v>
      </x:c>
      <x:c r="M5" s="20" t="str">
        <x:v>Earnings/NAV 8-K heuristic; timestamp verification pending</x:v>
      </x:c>
      <x:c r="N5" s="20" t="str">
        <x:v>https://www.sec.gov/Archives/edgar/full-index/2025/QTR3/master.idx</x:v>
      </x:c>
    </x:row>
    <x:row r="6">
      <x:c r="A6" s="20" t="str">
        <x:v>2025Q3</x:v>
      </x:c>
      <x:c r="B6" s="40" t="n">
        <x:v>45930</x:v>
      </x:c>
      <x:c r="C6" s="20" t="str">
        <x:v>ARCC</x:v>
      </x:c>
      <x:c r="D6" s="20" t="str">
        <x:v>Listed</x:v>
      </x:c>
      <x:c r="E6" s="20" t="str">
        <x:v>Ares</x:v>
      </x:c>
      <x:c r="F6" s="40" t="n">
        <x:v>45958</x:v>
      </x:c>
      <x:c r="G6" s="20"/>
      <x:c r="H6" s="20" t="str">
        <x:v>8-K</x:v>
      </x:c>
      <x:c r="I6" s="40" t="n">
        <x:v>45958</x:v>
      </x:c>
      <x:c r="J6" s="41" t="n">
        <x:v>0</x:v>
      </x:c>
      <x:c r="K6" s="20" t="str">
        <x:v>Medium</x:v>
      </x:c>
      <x:c r="L6" s="20" t="str">
        <x:v>Нет</x:v>
      </x:c>
      <x:c r="M6" s="20" t="str"/>
      <x:c r="N6" s="20" t="str">
        <x:v>https://www.sec.gov/Archives/edgar/full-index/2025/QTR4/master.idx</x:v>
      </x:c>
    </x:row>
    <x:row r="7">
      <x:c r="A7" s="20" t="str">
        <x:v>2025Q4</x:v>
      </x:c>
      <x:c r="B7" s="40" t="n">
        <x:v>46022</x:v>
      </x:c>
      <x:c r="C7" s="20" t="str">
        <x:v>ARCC</x:v>
      </x:c>
      <x:c r="D7" s="20" t="str">
        <x:v>Listed</x:v>
      </x:c>
      <x:c r="E7" s="20" t="str">
        <x:v>Ares</x:v>
      </x:c>
      <x:c r="F7" s="40" t="n">
        <x:v>46057</x:v>
      </x:c>
      <x:c r="G7" s="20"/>
      <x:c r="H7" s="20" t="str">
        <x:v>8-K</x:v>
      </x:c>
      <x:c r="I7" s="40" t="n">
        <x:v>46057</x:v>
      </x:c>
      <x:c r="J7" s="41" t="n">
        <x:v>0</x:v>
      </x:c>
      <x:c r="K7" s="20" t="str">
        <x:v>Medium</x:v>
      </x:c>
      <x:c r="L7" s="20" t="str">
        <x:v>Нет</x:v>
      </x:c>
      <x:c r="M7" s="20" t="str"/>
      <x:c r="N7" s="20" t="str">
        <x:v>https://www.sec.gov/Archives/edgar/full-index/2026/QTR1/master.idx</x:v>
      </x:c>
    </x:row>
    <x:row r="8">
      <x:c r="A8" s="20" t="str">
        <x:v>2026Q1</x:v>
      </x:c>
      <x:c r="B8" s="40" t="n">
        <x:v>46112</x:v>
      </x:c>
      <x:c r="C8" s="20" t="str">
        <x:v>ARCC</x:v>
      </x:c>
      <x:c r="D8" s="20" t="str">
        <x:v>Listed</x:v>
      </x:c>
      <x:c r="E8" s="20" t="str">
        <x:v>Ares</x:v>
      </x:c>
      <x:c r="F8" s="40" t="n">
        <x:v>46140</x:v>
      </x:c>
      <x:c r="G8" s="20"/>
      <x:c r="H8" s="20" t="str">
        <x:v>8-K</x:v>
      </x:c>
      <x:c r="I8" s="40" t="n">
        <x:v>46140</x:v>
      </x:c>
      <x:c r="J8" s="41" t="n">
        <x:v>0</x:v>
      </x:c>
      <x:c r="K8" s="20" t="str">
        <x:v>Medium</x:v>
      </x:c>
      <x:c r="L8" s="20" t="str">
        <x:v>Нет</x:v>
      </x:c>
      <x:c r="M8" s="20" t="str"/>
      <x:c r="N8" s="20" t="str">
        <x:v>https://www.sec.gov/Archives/edgar/full-index/2026/QTR2/master.idx</x:v>
      </x:c>
    </x:row>
    <x:row r="9">
      <x:c r="A9" s="20" t="str">
        <x:v>2025Q2</x:v>
      </x:c>
      <x:c r="B9" s="40" t="n">
        <x:v>45838</x:v>
      </x:c>
      <x:c r="C9" s="20" t="str">
        <x:v>FSK</x:v>
      </x:c>
      <x:c r="D9" s="20" t="str">
        <x:v>Listed</x:v>
      </x:c>
      <x:c r="E9" s="20" t="str">
        <x:v>FS Investments / KKR</x:v>
      </x:c>
      <x:c r="F9" s="40" t="n">
        <x:v>45875</x:v>
      </x:c>
      <x:c r="G9" s="20"/>
      <x:c r="H9" s="20" t="str">
        <x:v>8-K</x:v>
      </x:c>
      <x:c r="I9" s="40" t="n">
        <x:v>45875</x:v>
      </x:c>
      <x:c r="J9" s="41" t="n">
        <x:v>0</x:v>
      </x:c>
      <x:c r="K9" s="20" t="str">
        <x:v>Medium</x:v>
      </x:c>
      <x:c r="L9" s="20" t="str">
        <x:v>Нет</x:v>
      </x:c>
      <x:c r="M9" s="20" t="str"/>
      <x:c r="N9" s="20" t="str">
        <x:v>https://www.sec.gov/Archives/edgar/full-index/2025/QTR3/master.idx</x:v>
      </x:c>
    </x:row>
    <x:row r="10">
      <x:c r="A10" s="20" t="str">
        <x:v>2025Q3</x:v>
      </x:c>
      <x:c r="B10" s="40" t="n">
        <x:v>45930</x:v>
      </x:c>
      <x:c r="C10" s="20" t="str">
        <x:v>FSK</x:v>
      </x:c>
      <x:c r="D10" s="20" t="str">
        <x:v>Listed</x:v>
      </x:c>
      <x:c r="E10" s="20" t="str">
        <x:v>FS Investments / KKR</x:v>
      </x:c>
      <x:c r="F10" s="40" t="n">
        <x:v>45966</x:v>
      </x:c>
      <x:c r="G10" s="20"/>
      <x:c r="H10" s="20" t="str">
        <x:v>8-K</x:v>
      </x:c>
      <x:c r="I10" s="40" t="n">
        <x:v>45966</x:v>
      </x:c>
      <x:c r="J10" s="41" t="n">
        <x:v>0</x:v>
      </x:c>
      <x:c r="K10" s="20" t="str">
        <x:v>Medium</x:v>
      </x:c>
      <x:c r="L10" s="20" t="str">
        <x:v>Нет</x:v>
      </x:c>
      <x:c r="M10" s="20" t="str"/>
      <x:c r="N10" s="20" t="str">
        <x:v>https://www.sec.gov/Archives/edgar/full-index/2025/QTR4/master.idx</x:v>
      </x:c>
    </x:row>
    <x:row r="11">
      <x:c r="A11" s="20" t="str">
        <x:v>2025Q4</x:v>
      </x:c>
      <x:c r="B11" s="40" t="n">
        <x:v>46022</x:v>
      </x:c>
      <x:c r="C11" s="20" t="str">
        <x:v>FSK</x:v>
      </x:c>
      <x:c r="D11" s="20" t="str">
        <x:v>Listed</x:v>
      </x:c>
      <x:c r="E11" s="20" t="str">
        <x:v>FS Investments / KKR</x:v>
      </x:c>
      <x:c r="F11" s="40" t="n">
        <x:v>46078</x:v>
      </x:c>
      <x:c r="G11" s="20"/>
      <x:c r="H11" s="20" t="str">
        <x:v>8-K</x:v>
      </x:c>
      <x:c r="I11" s="40" t="n">
        <x:v>46078</x:v>
      </x:c>
      <x:c r="J11" s="41" t="n">
        <x:v>0</x:v>
      </x:c>
      <x:c r="K11" s="20" t="str">
        <x:v>Medium</x:v>
      </x:c>
      <x:c r="L11" s="20" t="str">
        <x:v>Нет</x:v>
      </x:c>
      <x:c r="M11" s="20" t="str"/>
      <x:c r="N11" s="20" t="str">
        <x:v>https://www.sec.gov/Archives/edgar/full-index/2026/QTR1/master.idx</x:v>
      </x:c>
    </x:row>
    <x:row r="12">
      <x:c r="A12" s="20" t="str">
        <x:v>2026Q1</x:v>
      </x:c>
      <x:c r="B12" s="40" t="n">
        <x:v>46112</x:v>
      </x:c>
      <x:c r="C12" s="20" t="str">
        <x:v>FSK</x:v>
      </x:c>
      <x:c r="D12" s="20" t="str">
        <x:v>Listed</x:v>
      </x:c>
      <x:c r="E12" s="20" t="str">
        <x:v>FS Investments / KKR</x:v>
      </x:c>
      <x:c r="F12" s="40" t="n">
        <x:v>46153</x:v>
      </x:c>
      <x:c r="G12" s="20"/>
      <x:c r="H12" s="20" t="str">
        <x:v>8-K</x:v>
      </x:c>
      <x:c r="I12" s="40" t="n">
        <x:v>46153</x:v>
      </x:c>
      <x:c r="J12" s="41" t="n">
        <x:v>0</x:v>
      </x:c>
      <x:c r="K12" s="20" t="str">
        <x:v>Medium</x:v>
      </x:c>
      <x:c r="L12" s="20" t="str">
        <x:v>Нет</x:v>
      </x:c>
      <x:c r="M12" s="20" t="str"/>
      <x:c r="N12" s="20" t="str">
        <x:v>https://www.sec.gov/Archives/edgar/full-index/2026/QTR2/master.idx</x:v>
      </x:c>
    </x:row>
    <x:row r="13">
      <x:c r="A13" s="20" t="str">
        <x:v>2025Q2</x:v>
      </x:c>
      <x:c r="B13" s="40" t="n">
        <x:v>45838</x:v>
      </x:c>
      <x:c r="C13" s="20" t="str">
        <x:v>OBDC</x:v>
      </x:c>
      <x:c r="D13" s="20" t="str">
        <x:v>Listed</x:v>
      </x:c>
      <x:c r="E13" s="20" t="str">
        <x:v>Blue Owl</x:v>
      </x:c>
      <x:c r="F13" s="40" t="n">
        <x:v>45875</x:v>
      </x:c>
      <x:c r="G13" s="20"/>
      <x:c r="H13" s="20" t="str">
        <x:v>8-K</x:v>
      </x:c>
      <x:c r="I13" s="40" t="n">
        <x:v>45875</x:v>
      </x:c>
      <x:c r="J13" s="41" t="n">
        <x:v>0</x:v>
      </x:c>
      <x:c r="K13" s="20" t="str">
        <x:v>Medium</x:v>
      </x:c>
      <x:c r="L13" s="20" t="str">
        <x:v>Нет</x:v>
      </x:c>
      <x:c r="M13" s="20" t="str"/>
      <x:c r="N13" s="20" t="str">
        <x:v>https://www.sec.gov/Archives/edgar/full-index/2025/QTR3/master.idx</x:v>
      </x:c>
    </x:row>
    <x:row r="14">
      <x:c r="A14" s="20" t="str">
        <x:v>2025Q3</x:v>
      </x:c>
      <x:c r="B14" s="40" t="n">
        <x:v>45930</x:v>
      </x:c>
      <x:c r="C14" s="20" t="str">
        <x:v>OBDC</x:v>
      </x:c>
      <x:c r="D14" s="20" t="str">
        <x:v>Listed</x:v>
      </x:c>
      <x:c r="E14" s="20" t="str">
        <x:v>Blue Owl</x:v>
      </x:c>
      <x:c r="F14" s="40" t="n">
        <x:v>45966</x:v>
      </x:c>
      <x:c r="G14" s="20"/>
      <x:c r="H14" s="20" t="str">
        <x:v>8-K</x:v>
      </x:c>
      <x:c r="I14" s="40" t="n">
        <x:v>45966</x:v>
      </x:c>
      <x:c r="J14" s="41" t="n">
        <x:v>0</x:v>
      </x:c>
      <x:c r="K14" s="20" t="str">
        <x:v>Medium</x:v>
      </x:c>
      <x:c r="L14" s="20" t="str">
        <x:v>Нет</x:v>
      </x:c>
      <x:c r="M14" s="20" t="str"/>
      <x:c r="N14" s="20" t="str">
        <x:v>https://www.sec.gov/Archives/edgar/full-index/2025/QTR4/master.idx</x:v>
      </x:c>
    </x:row>
    <x:row r="15">
      <x:c r="A15" s="20" t="str">
        <x:v>2025Q4</x:v>
      </x:c>
      <x:c r="B15" s="40" t="n">
        <x:v>46022</x:v>
      </x:c>
      <x:c r="C15" s="20" t="str">
        <x:v>OBDC</x:v>
      </x:c>
      <x:c r="D15" s="20" t="str">
        <x:v>Listed</x:v>
      </x:c>
      <x:c r="E15" s="20" t="str">
        <x:v>Blue Owl</x:v>
      </x:c>
      <x:c r="F15" s="40" t="n">
        <x:v>46071</x:v>
      </x:c>
      <x:c r="G15" s="20"/>
      <x:c r="H15" s="20" t="str">
        <x:v>8-K</x:v>
      </x:c>
      <x:c r="I15" s="40" t="n">
        <x:v>46071</x:v>
      </x:c>
      <x:c r="J15" s="41" t="n">
        <x:v>0</x:v>
      </x:c>
      <x:c r="K15" s="20" t="str">
        <x:v>Medium</x:v>
      </x:c>
      <x:c r="L15" s="20" t="str">
        <x:v>Нет</x:v>
      </x:c>
      <x:c r="M15" s="20" t="str"/>
      <x:c r="N15" s="20" t="str">
        <x:v>https://www.sec.gov/Archives/edgar/full-index/2026/QTR1/master.idx</x:v>
      </x:c>
    </x:row>
    <x:row r="16">
      <x:c r="A16" s="20" t="str">
        <x:v>2026Q1</x:v>
      </x:c>
      <x:c r="B16" s="40" t="n">
        <x:v>46112</x:v>
      </x:c>
      <x:c r="C16" s="20" t="str">
        <x:v>OBDC</x:v>
      </x:c>
      <x:c r="D16" s="20" t="str">
        <x:v>Listed</x:v>
      </x:c>
      <x:c r="E16" s="20" t="str">
        <x:v>Blue Owl</x:v>
      </x:c>
      <x:c r="F16" s="40" t="n">
        <x:v>46148</x:v>
      </x:c>
      <x:c r="G16" s="20"/>
      <x:c r="H16" s="20" t="str">
        <x:v>8-K</x:v>
      </x:c>
      <x:c r="I16" s="40" t="n">
        <x:v>46148</x:v>
      </x:c>
      <x:c r="J16" s="41" t="n">
        <x:v>0</x:v>
      </x:c>
      <x:c r="K16" s="20" t="str">
        <x:v>Medium</x:v>
      </x:c>
      <x:c r="L16" s="20" t="str">
        <x:v>Нет</x:v>
      </x:c>
      <x:c r="M16" s="20" t="str"/>
      <x:c r="N16" s="20" t="str">
        <x:v>https://www.sec.gov/Archives/edgar/full-index/2026/QTR2/master.idx</x:v>
      </x:c>
    </x:row>
    <x:row r="17">
      <x:c r="A17" s="20" t="str">
        <x:v>2025Q2</x:v>
      </x:c>
      <x:c r="B17" s="40" t="n">
        <x:v>45838</x:v>
      </x:c>
      <x:c r="C17" s="20" t="str">
        <x:v>BXSL</x:v>
      </x:c>
      <x:c r="D17" s="20" t="str">
        <x:v>Listed</x:v>
      </x:c>
      <x:c r="E17" s="20" t="str">
        <x:v>Blackstone</x:v>
      </x:c>
      <x:c r="F17" s="40" t="n">
        <x:v>45875</x:v>
      </x:c>
      <x:c r="G17" s="20"/>
      <x:c r="H17" s="20" t="str">
        <x:v>8-K</x:v>
      </x:c>
      <x:c r="I17" s="40" t="n">
        <x:v>45875</x:v>
      </x:c>
      <x:c r="J17" s="41" t="n">
        <x:v>0</x:v>
      </x:c>
      <x:c r="K17" s="20" t="str">
        <x:v>Medium</x:v>
      </x:c>
      <x:c r="L17" s="20" t="str">
        <x:v>Нет</x:v>
      </x:c>
      <x:c r="M17" s="20" t="str"/>
      <x:c r="N17" s="20" t="str">
        <x:v>https://www.sec.gov/Archives/edgar/full-index/2025/QTR3/master.idx</x:v>
      </x:c>
    </x:row>
    <x:row r="18">
      <x:c r="A18" s="20" t="str">
        <x:v>2025Q3</x:v>
      </x:c>
      <x:c r="B18" s="40" t="n">
        <x:v>45930</x:v>
      </x:c>
      <x:c r="C18" s="20" t="str">
        <x:v>BXSL</x:v>
      </x:c>
      <x:c r="D18" s="20" t="str">
        <x:v>Listed</x:v>
      </x:c>
      <x:c r="E18" s="20" t="str">
        <x:v>Blackstone</x:v>
      </x:c>
      <x:c r="F18" s="40" t="n">
        <x:v>45971</x:v>
      </x:c>
      <x:c r="G18" s="20"/>
      <x:c r="H18" s="20" t="str">
        <x:v>8-K</x:v>
      </x:c>
      <x:c r="I18" s="40" t="n">
        <x:v>45971</x:v>
      </x:c>
      <x:c r="J18" s="41" t="n">
        <x:v>0</x:v>
      </x:c>
      <x:c r="K18" s="20" t="str">
        <x:v>Medium</x:v>
      </x:c>
      <x:c r="L18" s="20" t="str">
        <x:v>Нет</x:v>
      </x:c>
      <x:c r="M18" s="20" t="str"/>
      <x:c r="N18" s="20" t="str">
        <x:v>https://www.sec.gov/Archives/edgar/full-index/2025/QTR4/master.idx</x:v>
      </x:c>
    </x:row>
    <x:row r="19">
      <x:c r="A19" s="20" t="str">
        <x:v>2025Q4</x:v>
      </x:c>
      <x:c r="B19" s="40" t="n">
        <x:v>46022</x:v>
      </x:c>
      <x:c r="C19" s="20" t="str">
        <x:v>BXSL</x:v>
      </x:c>
      <x:c r="D19" s="20" t="str">
        <x:v>Listed</x:v>
      </x:c>
      <x:c r="E19" s="20" t="str">
        <x:v>Blackstone</x:v>
      </x:c>
      <x:c r="F19" s="40" t="n">
        <x:v>46078</x:v>
      </x:c>
      <x:c r="G19" s="20"/>
      <x:c r="H19" s="20" t="str">
        <x:v>8-K</x:v>
      </x:c>
      <x:c r="I19" s="40" t="n">
        <x:v>46078</x:v>
      </x:c>
      <x:c r="J19" s="41" t="n">
        <x:v>0</x:v>
      </x:c>
      <x:c r="K19" s="20" t="str">
        <x:v>Medium</x:v>
      </x:c>
      <x:c r="L19" s="20" t="str">
        <x:v>Нет</x:v>
      </x:c>
      <x:c r="M19" s="20" t="str"/>
      <x:c r="N19" s="20" t="str">
        <x:v>https://www.sec.gov/Archives/edgar/full-index/2026/QTR1/master.idx</x:v>
      </x:c>
    </x:row>
    <x:row r="20">
      <x:c r="A20" s="20" t="str">
        <x:v>2026Q1</x:v>
      </x:c>
      <x:c r="B20" s="40" t="n">
        <x:v>46112</x:v>
      </x:c>
      <x:c r="C20" s="20" t="str">
        <x:v>BXSL</x:v>
      </x:c>
      <x:c r="D20" s="20" t="str">
        <x:v>Listed</x:v>
      </x:c>
      <x:c r="E20" s="20" t="str">
        <x:v>Blackstone</x:v>
      </x:c>
      <x:c r="F20" s="40" t="n">
        <x:v>46149</x:v>
      </x:c>
      <x:c r="G20" s="20"/>
      <x:c r="H20" s="20" t="str">
        <x:v>8-K</x:v>
      </x:c>
      <x:c r="I20" s="40" t="n">
        <x:v>46149</x:v>
      </x:c>
      <x:c r="J20" s="41" t="n">
        <x:v>0</x:v>
      </x:c>
      <x:c r="K20" s="20" t="str">
        <x:v>Medium</x:v>
      </x:c>
      <x:c r="L20" s="20" t="str">
        <x:v>Нет</x:v>
      </x:c>
      <x:c r="M20" s="20" t="str"/>
      <x:c r="N20" s="20" t="str">
        <x:v>https://www.sec.gov/Archives/edgar/full-index/2026/QTR2/master.idx</x:v>
      </x:c>
    </x:row>
    <x:row r="21">
      <x:c r="A21" s="20" t="str">
        <x:v>2025Q2</x:v>
      </x:c>
      <x:c r="B21" s="40" t="n">
        <x:v>45838</x:v>
      </x:c>
      <x:c r="C21" s="20" t="str">
        <x:v>MAIN</x:v>
      </x:c>
      <x:c r="D21" s="20" t="str">
        <x:v>Listed</x:v>
      </x:c>
      <x:c r="E21" s="20" t="str">
        <x:v>Main Street</x:v>
      </x:c>
      <x:c r="F21" s="40" t="n">
        <x:v>45874</x:v>
      </x:c>
      <x:c r="G21" s="20"/>
      <x:c r="H21" s="20" t="str">
        <x:v>8-K</x:v>
      </x:c>
      <x:c r="I21" s="40" t="n">
        <x:v>45877</x:v>
      </x:c>
      <x:c r="J21" s="41" t="n">
        <x:v>3</x:v>
      </x:c>
      <x:c r="K21" s="20" t="str">
        <x:v>Medium</x:v>
      </x:c>
      <x:c r="L21" s="20" t="str">
        <x:v>Нет</x:v>
      </x:c>
      <x:c r="M21" s="20" t="str">
        <x:v>8-K preceded periodic filing by 3 days</x:v>
      </x:c>
      <x:c r="N21" s="20" t="str">
        <x:v>https://www.sec.gov/Archives/edgar/full-index/2025/QTR3/master.idx</x:v>
      </x:c>
    </x:row>
    <x:row r="22">
      <x:c r="A22" s="20" t="str">
        <x:v>2025Q3</x:v>
      </x:c>
      <x:c r="B22" s="40" t="n">
        <x:v>45930</x:v>
      </x:c>
      <x:c r="C22" s="20" t="str">
        <x:v>MAIN</x:v>
      </x:c>
      <x:c r="D22" s="20" t="str">
        <x:v>Listed</x:v>
      </x:c>
      <x:c r="E22" s="20" t="str">
        <x:v>Main Street</x:v>
      </x:c>
      <x:c r="F22" s="40" t="n">
        <x:v>45965</x:v>
      </x:c>
      <x:c r="G22" s="20"/>
      <x:c r="H22" s="20" t="str">
        <x:v>8-K</x:v>
      </x:c>
      <x:c r="I22" s="40" t="n">
        <x:v>45968</x:v>
      </x:c>
      <x:c r="J22" s="41" t="n">
        <x:v>3</x:v>
      </x:c>
      <x:c r="K22" s="20" t="str">
        <x:v>Medium</x:v>
      </x:c>
      <x:c r="L22" s="20" t="str">
        <x:v>Нет</x:v>
      </x:c>
      <x:c r="M22" s="20" t="str">
        <x:v>8-K preceded periodic filing by 3 days</x:v>
      </x:c>
      <x:c r="N22" s="20" t="str">
        <x:v>https://www.sec.gov/Archives/edgar/full-index/2025/QTR4/master.idx</x:v>
      </x:c>
    </x:row>
    <x:row r="23">
      <x:c r="A23" s="20" t="str">
        <x:v>2025Q4</x:v>
      </x:c>
      <x:c r="B23" s="40" t="n">
        <x:v>46022</x:v>
      </x:c>
      <x:c r="C23" s="20" t="str">
        <x:v>MAIN</x:v>
      </x:c>
      <x:c r="D23" s="20" t="str">
        <x:v>Listed</x:v>
      </x:c>
      <x:c r="E23" s="20" t="str">
        <x:v>Main Street</x:v>
      </x:c>
      <x:c r="F23" s="40" t="n">
        <x:v>46077</x:v>
      </x:c>
      <x:c r="G23" s="20"/>
      <x:c r="H23" s="20" t="str">
        <x:v>8-K</x:v>
      </x:c>
      <x:c r="I23" s="40" t="n">
        <x:v>46080</x:v>
      </x:c>
      <x:c r="J23" s="41" t="n">
        <x:v>3</x:v>
      </x:c>
      <x:c r="K23" s="20" t="str">
        <x:v>Medium</x:v>
      </x:c>
      <x:c r="L23" s="20" t="str">
        <x:v>Нет</x:v>
      </x:c>
      <x:c r="M23" s="20" t="str">
        <x:v>8-K preceded periodic filing by 3 days</x:v>
      </x:c>
      <x:c r="N23" s="20" t="str">
        <x:v>https://www.sec.gov/Archives/edgar/full-index/2026/QTR1/master.idx</x:v>
      </x:c>
    </x:row>
    <x:row r="24">
      <x:c r="A24" s="20" t="str">
        <x:v>2026Q1</x:v>
      </x:c>
      <x:c r="B24" s="40" t="n">
        <x:v>46112</x:v>
      </x:c>
      <x:c r="C24" s="20" t="str">
        <x:v>MAIN</x:v>
      </x:c>
      <x:c r="D24" s="20" t="str">
        <x:v>Listed</x:v>
      </x:c>
      <x:c r="E24" s="20" t="str">
        <x:v>Main Street</x:v>
      </x:c>
      <x:c r="F24" s="40" t="n">
        <x:v>46147</x:v>
      </x:c>
      <x:c r="G24" s="20"/>
      <x:c r="H24" s="20" t="str">
        <x:v>8-K</x:v>
      </x:c>
      <x:c r="I24" s="40" t="n">
        <x:v>46150</x:v>
      </x:c>
      <x:c r="J24" s="41" t="n">
        <x:v>3</x:v>
      </x:c>
      <x:c r="K24" s="20" t="str">
        <x:v>Medium</x:v>
      </x:c>
      <x:c r="L24" s="20" t="str">
        <x:v>Нет</x:v>
      </x:c>
      <x:c r="M24" s="20" t="str">
        <x:v>8-K preceded periodic filing by 3 days</x:v>
      </x:c>
      <x:c r="N24" s="20" t="str">
        <x:v>https://www.sec.gov/Archives/edgar/full-index/2026/QTR2/master.idx</x:v>
      </x:c>
    </x:row>
    <x:row r="25">
      <x:c r="A25" s="20" t="str">
        <x:v>2025Q2</x:v>
      </x:c>
      <x:c r="B25" s="40" t="n">
        <x:v>45838</x:v>
      </x:c>
      <x:c r="C25" s="20" t="str">
        <x:v>GBDC</x:v>
      </x:c>
      <x:c r="D25" s="20" t="str">
        <x:v>Listed</x:v>
      </x:c>
      <x:c r="E25" s="20" t="str">
        <x:v>Golub Capital</x:v>
      </x:c>
      <x:c r="F25" s="40" t="n">
        <x:v>45873</x:v>
      </x:c>
      <x:c r="G25" s="20"/>
      <x:c r="H25" s="20" t="str">
        <x:v>8-K</x:v>
      </x:c>
      <x:c r="I25" s="40" t="n">
        <x:v>45873</x:v>
      </x:c>
      <x:c r="J25" s="41" t="n">
        <x:v>0</x:v>
      </x:c>
      <x:c r="K25" s="20" t="str">
        <x:v>Medium</x:v>
      </x:c>
      <x:c r="L25" s="20" t="str">
        <x:v>Нет</x:v>
      </x:c>
      <x:c r="M25" s="20" t="str"/>
      <x:c r="N25" s="20" t="str">
        <x:v>https://www.sec.gov/Archives/edgar/full-index/2025/QTR3/master.idx</x:v>
      </x:c>
    </x:row>
    <x:row r="26">
      <x:c r="A26" s="20" t="str">
        <x:v>2025Q3</x:v>
      </x:c>
      <x:c r="B26" s="40" t="n">
        <x:v>45930</x:v>
      </x:c>
      <x:c r="C26" s="20" t="str">
        <x:v>GBDC</x:v>
      </x:c>
      <x:c r="D26" s="20" t="str">
        <x:v>Listed</x:v>
      </x:c>
      <x:c r="E26" s="20" t="str">
        <x:v>Golub Capital</x:v>
      </x:c>
      <x:c r="F26" s="40" t="n">
        <x:v>45979</x:v>
      </x:c>
      <x:c r="G26" s="20"/>
      <x:c r="H26" s="20" t="str">
        <x:v>8-K</x:v>
      </x:c>
      <x:c r="I26" s="40" t="n">
        <x:v>45979</x:v>
      </x:c>
      <x:c r="J26" s="41" t="n">
        <x:v>0</x:v>
      </x:c>
      <x:c r="K26" s="20" t="str">
        <x:v>Medium</x:v>
      </x:c>
      <x:c r="L26" s="20" t="str">
        <x:v>Нет</x:v>
      </x:c>
      <x:c r="M26" s="20" t="str"/>
      <x:c r="N26" s="20" t="str">
        <x:v>https://www.sec.gov/Archives/edgar/full-index/2025/QTR4/master.idx</x:v>
      </x:c>
    </x:row>
    <x:row r="27">
      <x:c r="A27" s="20" t="str">
        <x:v>2025Q4</x:v>
      </x:c>
      <x:c r="B27" s="40" t="n">
        <x:v>46022</x:v>
      </x:c>
      <x:c r="C27" s="20" t="str">
        <x:v>GBDC</x:v>
      </x:c>
      <x:c r="D27" s="20" t="str">
        <x:v>Listed</x:v>
      </x:c>
      <x:c r="E27" s="20" t="str">
        <x:v>Golub Capital</x:v>
      </x:c>
      <x:c r="F27" s="40" t="n">
        <x:v>46057</x:v>
      </x:c>
      <x:c r="G27" s="20"/>
      <x:c r="H27" s="20" t="str">
        <x:v>8-K</x:v>
      </x:c>
      <x:c r="I27" s="40" t="n">
        <x:v>46057</x:v>
      </x:c>
      <x:c r="J27" s="41" t="n">
        <x:v>0</x:v>
      </x:c>
      <x:c r="K27" s="20" t="str">
        <x:v>Medium</x:v>
      </x:c>
      <x:c r="L27" s="20" t="str">
        <x:v>Нет</x:v>
      </x:c>
      <x:c r="M27" s="20" t="str"/>
      <x:c r="N27" s="20" t="str">
        <x:v>https://www.sec.gov/Archives/edgar/full-index/2026/QTR1/master.idx</x:v>
      </x:c>
    </x:row>
    <x:row r="28">
      <x:c r="A28" s="20" t="str">
        <x:v>2026Q1</x:v>
      </x:c>
      <x:c r="B28" s="40" t="n">
        <x:v>46112</x:v>
      </x:c>
      <x:c r="C28" s="20" t="str">
        <x:v>GBDC</x:v>
      </x:c>
      <x:c r="D28" s="20" t="str">
        <x:v>Listed</x:v>
      </x:c>
      <x:c r="E28" s="20" t="str">
        <x:v>Golub Capital</x:v>
      </x:c>
      <x:c r="F28" s="40" t="n">
        <x:v>46146</x:v>
      </x:c>
      <x:c r="G28" s="20"/>
      <x:c r="H28" s="20" t="str">
        <x:v>8-K</x:v>
      </x:c>
      <x:c r="I28" s="40" t="n">
        <x:v>46146</x:v>
      </x:c>
      <x:c r="J28" s="41" t="n">
        <x:v>0</x:v>
      </x:c>
      <x:c r="K28" s="20" t="str">
        <x:v>Medium</x:v>
      </x:c>
      <x:c r="L28" s="20" t="str">
        <x:v>Нет</x:v>
      </x:c>
      <x:c r="M28" s="20" t="str"/>
      <x:c r="N28" s="20" t="str">
        <x:v>https://www.sec.gov/Archives/edgar/full-index/2026/QTR2/master.idx</x:v>
      </x:c>
    </x:row>
    <x:row r="29">
      <x:c r="A29" s="20" t="str">
        <x:v>2025Q2</x:v>
      </x:c>
      <x:c r="B29" s="40" t="n">
        <x:v>45838</x:v>
      </x:c>
      <x:c r="C29" s="20" t="str">
        <x:v>TSLX</x:v>
      </x:c>
      <x:c r="D29" s="20" t="str">
        <x:v>Listed</x:v>
      </x:c>
      <x:c r="E29" s="20" t="str">
        <x:v>Sixth Street</x:v>
      </x:c>
      <x:c r="F29" s="40" t="n">
        <x:v>45868</x:v>
      </x:c>
      <x:c r="G29" s="20"/>
      <x:c r="H29" s="20" t="str">
        <x:v>8-K</x:v>
      </x:c>
      <x:c r="I29" s="40" t="n">
        <x:v>45868</x:v>
      </x:c>
      <x:c r="J29" s="41" t="n">
        <x:v>0</x:v>
      </x:c>
      <x:c r="K29" s="20" t="str">
        <x:v>Medium</x:v>
      </x:c>
      <x:c r="L29" s="20" t="str">
        <x:v>Нет</x:v>
      </x:c>
      <x:c r="M29" s="20" t="str"/>
      <x:c r="N29" s="20" t="str">
        <x:v>https://www.sec.gov/Archives/edgar/full-index/2025/QTR3/master.idx</x:v>
      </x:c>
    </x:row>
    <x:row r="30">
      <x:c r="A30" s="20" t="str">
        <x:v>2025Q3</x:v>
      </x:c>
      <x:c r="B30" s="40" t="n">
        <x:v>45930</x:v>
      </x:c>
      <x:c r="C30" s="20" t="str">
        <x:v>TSLX</x:v>
      </x:c>
      <x:c r="D30" s="20" t="str">
        <x:v>Listed</x:v>
      </x:c>
      <x:c r="E30" s="20" t="str">
        <x:v>Sixth Street</x:v>
      </x:c>
      <x:c r="F30" s="40" t="n">
        <x:v>45965</x:v>
      </x:c>
      <x:c r="G30" s="20"/>
      <x:c r="H30" s="20" t="str">
        <x:v>8-K</x:v>
      </x:c>
      <x:c r="I30" s="40" t="n">
        <x:v>45965</x:v>
      </x:c>
      <x:c r="J30" s="41" t="n">
        <x:v>0</x:v>
      </x:c>
      <x:c r="K30" s="20" t="str">
        <x:v>Medium</x:v>
      </x:c>
      <x:c r="L30" s="20" t="str">
        <x:v>Нет</x:v>
      </x:c>
      <x:c r="M30" s="20" t="str"/>
      <x:c r="N30" s="20" t="str">
        <x:v>https://www.sec.gov/Archives/edgar/full-index/2025/QTR4/master.idx</x:v>
      </x:c>
    </x:row>
    <x:row r="31">
      <x:c r="A31" s="20" t="str">
        <x:v>2025Q4</x:v>
      </x:c>
      <x:c r="B31" s="40" t="n">
        <x:v>46022</x:v>
      </x:c>
      <x:c r="C31" s="20" t="str">
        <x:v>TSLX</x:v>
      </x:c>
      <x:c r="D31" s="20" t="str">
        <x:v>Listed</x:v>
      </x:c>
      <x:c r="E31" s="20" t="str">
        <x:v>Sixth Street</x:v>
      </x:c>
      <x:c r="F31" s="40" t="n">
        <x:v>46065</x:v>
      </x:c>
      <x:c r="G31" s="20"/>
      <x:c r="H31" s="20" t="str">
        <x:v>8-K</x:v>
      </x:c>
      <x:c r="I31" s="40" t="n">
        <x:v>46065</x:v>
      </x:c>
      <x:c r="J31" s="41" t="n">
        <x:v>0</x:v>
      </x:c>
      <x:c r="K31" s="20" t="str">
        <x:v>Medium</x:v>
      </x:c>
      <x:c r="L31" s="20" t="str">
        <x:v>Нет</x:v>
      </x:c>
      <x:c r="M31" s="20" t="str"/>
      <x:c r="N31" s="20" t="str">
        <x:v>https://www.sec.gov/Archives/edgar/full-index/2026/QTR1/master.idx</x:v>
      </x:c>
    </x:row>
    <x:row r="32">
      <x:c r="A32" s="20" t="str">
        <x:v>2026Q1</x:v>
      </x:c>
      <x:c r="B32" s="40" t="n">
        <x:v>46112</x:v>
      </x:c>
      <x:c r="C32" s="20" t="str">
        <x:v>TSLX</x:v>
      </x:c>
      <x:c r="D32" s="20" t="str">
        <x:v>Listed</x:v>
      </x:c>
      <x:c r="E32" s="20" t="str">
        <x:v>Sixth Street</x:v>
      </x:c>
      <x:c r="F32" s="40" t="n">
        <x:v>46147</x:v>
      </x:c>
      <x:c r="G32" s="20"/>
      <x:c r="H32" s="20" t="str">
        <x:v>8-K</x:v>
      </x:c>
      <x:c r="I32" s="40" t="n">
        <x:v>46147</x:v>
      </x:c>
      <x:c r="J32" s="41" t="n">
        <x:v>0</x:v>
      </x:c>
      <x:c r="K32" s="20" t="str">
        <x:v>Medium</x:v>
      </x:c>
      <x:c r="L32" s="20" t="str">
        <x:v>Нет</x:v>
      </x:c>
      <x:c r="M32" s="20" t="str"/>
      <x:c r="N32" s="20" t="str">
        <x:v>https://www.sec.gov/Archives/edgar/full-index/2026/QTR2/master.idx</x:v>
      </x:c>
    </x:row>
    <x:row r="33">
      <x:c r="A33" s="20" t="str">
        <x:v>2025Q2</x:v>
      </x:c>
      <x:c r="B33" s="40" t="n">
        <x:v>45838</x:v>
      </x:c>
      <x:c r="C33" s="20" t="str">
        <x:v>HTGC</x:v>
      </x:c>
      <x:c r="D33" s="20" t="str">
        <x:v>Listed</x:v>
      </x:c>
      <x:c r="E33" s="20" t="str">
        <x:v>Hercules</x:v>
      </x:c>
      <x:c r="F33" s="40" t="n">
        <x:v>45869</x:v>
      </x:c>
      <x:c r="G33" s="20"/>
      <x:c r="H33" s="20" t="str">
        <x:v>8-K</x:v>
      </x:c>
      <x:c r="I33" s="40" t="n">
        <x:v>45869</x:v>
      </x:c>
      <x:c r="J33" s="41" t="n">
        <x:v>0</x:v>
      </x:c>
      <x:c r="K33" s="20" t="str">
        <x:v>Medium</x:v>
      </x:c>
      <x:c r="L33" s="20" t="str">
        <x:v>Нет</x:v>
      </x:c>
      <x:c r="M33" s="20" t="str"/>
      <x:c r="N33" s="20" t="str">
        <x:v>https://www.sec.gov/Archives/edgar/full-index/2025/QTR3/master.idx</x:v>
      </x:c>
    </x:row>
    <x:row r="34">
      <x:c r="A34" s="20" t="str">
        <x:v>2025Q3</x:v>
      </x:c>
      <x:c r="B34" s="40" t="n">
        <x:v>45930</x:v>
      </x:c>
      <x:c r="C34" s="20" t="str">
        <x:v>HTGC</x:v>
      </x:c>
      <x:c r="D34" s="20" t="str">
        <x:v>Listed</x:v>
      </x:c>
      <x:c r="E34" s="20" t="str">
        <x:v>Hercules</x:v>
      </x:c>
      <x:c r="F34" s="40" t="n">
        <x:v>45960</x:v>
      </x:c>
      <x:c r="G34" s="20"/>
      <x:c r="H34" s="20" t="str">
        <x:v>8-K</x:v>
      </x:c>
      <x:c r="I34" s="40" t="n">
        <x:v>45960</x:v>
      </x:c>
      <x:c r="J34" s="41" t="n">
        <x:v>0</x:v>
      </x:c>
      <x:c r="K34" s="20" t="str">
        <x:v>Medium</x:v>
      </x:c>
      <x:c r="L34" s="20" t="str">
        <x:v>Нет</x:v>
      </x:c>
      <x:c r="M34" s="20" t="str"/>
      <x:c r="N34" s="20" t="str">
        <x:v>https://www.sec.gov/Archives/edgar/full-index/2025/QTR4/master.idx</x:v>
      </x:c>
    </x:row>
    <x:row r="35">
      <x:c r="A35" s="20" t="str">
        <x:v>2025Q4</x:v>
      </x:c>
      <x:c r="B35" s="40" t="n">
        <x:v>46022</x:v>
      </x:c>
      <x:c r="C35" s="20" t="str">
        <x:v>HTGC</x:v>
      </x:c>
      <x:c r="D35" s="20" t="str">
        <x:v>Listed</x:v>
      </x:c>
      <x:c r="E35" s="20" t="str">
        <x:v>Hercules</x:v>
      </x:c>
      <x:c r="F35" s="40" t="n">
        <x:v>46063</x:v>
      </x:c>
      <x:c r="G35" s="20"/>
      <x:c r="H35" s="20" t="str">
        <x:v>8-K</x:v>
      </x:c>
      <x:c r="I35" s="40" t="n">
        <x:v>46065</x:v>
      </x:c>
      <x:c r="J35" s="41" t="n">
        <x:v>2</x:v>
      </x:c>
      <x:c r="K35" s="20" t="str">
        <x:v>Medium</x:v>
      </x:c>
      <x:c r="L35" s="20" t="str">
        <x:v>Нет</x:v>
      </x:c>
      <x:c r="M35" s="20" t="str">
        <x:v>8-K preceded periodic filing by 2 days</x:v>
      </x:c>
      <x:c r="N35" s="20" t="str">
        <x:v>https://www.sec.gov/Archives/edgar/full-index/2026/QTR1/master.idx</x:v>
      </x:c>
    </x:row>
    <x:row r="36">
      <x:c r="A36" s="20" t="str">
        <x:v>2026Q1</x:v>
      </x:c>
      <x:c r="B36" s="40" t="n">
        <x:v>46112</x:v>
      </x:c>
      <x:c r="C36" s="20" t="str">
        <x:v>HTGC</x:v>
      </x:c>
      <x:c r="D36" s="20" t="str">
        <x:v>Listed</x:v>
      </x:c>
      <x:c r="E36" s="20" t="str">
        <x:v>Hercules</x:v>
      </x:c>
      <x:c r="F36" s="40" t="n">
        <x:v>46146</x:v>
      </x:c>
      <x:c r="G36" s="20"/>
      <x:c r="H36" s="20" t="str">
        <x:v>8-K</x:v>
      </x:c>
      <x:c r="I36" s="40" t="n">
        <x:v>46147</x:v>
      </x:c>
      <x:c r="J36" s="41" t="n">
        <x:v>1</x:v>
      </x:c>
      <x:c r="K36" s="20" t="str">
        <x:v>Medium</x:v>
      </x:c>
      <x:c r="L36" s="20" t="str">
        <x:v>Нет</x:v>
      </x:c>
      <x:c r="M36" s="20" t="str">
        <x:v>8-K preceded periodic filing by 1 day</x:v>
      </x:c>
      <x:c r="N36" s="20" t="str">
        <x:v>https://www.sec.gov/Archives/edgar/full-index/2026/QTR2/master.idx</x:v>
      </x:c>
    </x:row>
    <x:row r="37">
      <x:c r="A37" s="20" t="str">
        <x:v>2025Q2</x:v>
      </x:c>
      <x:c r="B37" s="40" t="n">
        <x:v>45838</x:v>
      </x:c>
      <x:c r="C37" s="20" t="str">
        <x:v>CSWC</x:v>
      </x:c>
      <x:c r="D37" s="20" t="str">
        <x:v>Listed</x:v>
      </x:c>
      <x:c r="E37" s="20" t="str">
        <x:v>Capital Southwest</x:v>
      </x:c>
      <x:c r="F37" s="40" t="n">
        <x:v>45875</x:v>
      </x:c>
      <x:c r="G37" s="20"/>
      <x:c r="H37" s="20" t="str">
        <x:v>8-K</x:v>
      </x:c>
      <x:c r="I37" s="40" t="n">
        <x:v>45876</x:v>
      </x:c>
      <x:c r="J37" s="41" t="n">
        <x:v>1</x:v>
      </x:c>
      <x:c r="K37" s="20" t="str">
        <x:v>Medium</x:v>
      </x:c>
      <x:c r="L37" s="20" t="str">
        <x:v>Нет</x:v>
      </x:c>
      <x:c r="M37" s="20" t="str"/>
      <x:c r="N37" s="20" t="str">
        <x:v>https://www.sec.gov/Archives/edgar/full-index/2025/QTR3/master.idx</x:v>
      </x:c>
    </x:row>
    <x:row r="38">
      <x:c r="A38" s="20" t="str">
        <x:v>2025Q3</x:v>
      </x:c>
      <x:c r="B38" s="40" t="n">
        <x:v>45930</x:v>
      </x:c>
      <x:c r="C38" s="20" t="str">
        <x:v>CSWC</x:v>
      </x:c>
      <x:c r="D38" s="20" t="str">
        <x:v>Listed</x:v>
      </x:c>
      <x:c r="E38" s="20" t="str">
        <x:v>Capital Southwest</x:v>
      </x:c>
      <x:c r="F38" s="40" t="n">
        <x:v>45964</x:v>
      </x:c>
      <x:c r="G38" s="20"/>
      <x:c r="H38" s="20" t="str">
        <x:v>8-K</x:v>
      </x:c>
      <x:c r="I38" s="40" t="n">
        <x:v>45964</x:v>
      </x:c>
      <x:c r="J38" s="41" t="n">
        <x:v>0</x:v>
      </x:c>
      <x:c r="K38" s="20" t="str">
        <x:v>Medium</x:v>
      </x:c>
      <x:c r="L38" s="20" t="str">
        <x:v>Нет</x:v>
      </x:c>
      <x:c r="M38" s="20" t="str"/>
      <x:c r="N38" s="20" t="str">
        <x:v>https://www.sec.gov/Archives/edgar/full-index/2025/QTR4/master.idx</x:v>
      </x:c>
    </x:row>
    <x:row r="39">
      <x:c r="A39" s="20" t="str">
        <x:v>2025Q4</x:v>
      </x:c>
      <x:c r="B39" s="40" t="n">
        <x:v>46022</x:v>
      </x:c>
      <x:c r="C39" s="20" t="str">
        <x:v>CSWC</x:v>
      </x:c>
      <x:c r="D39" s="20" t="str">
        <x:v>Listed</x:v>
      </x:c>
      <x:c r="E39" s="20" t="str">
        <x:v>Capital Southwest</x:v>
      </x:c>
      <x:c r="F39" s="40" t="n">
        <x:v>46052</x:v>
      </x:c>
      <x:c r="G39" s="20"/>
      <x:c r="H39" s="20" t="str">
        <x:v>8-K</x:v>
      </x:c>
      <x:c r="I39" s="40" t="n">
        <x:v>46055</x:v>
      </x:c>
      <x:c r="J39" s="41" t="n">
        <x:v>3</x:v>
      </x:c>
      <x:c r="K39" s="20" t="str">
        <x:v>Medium</x:v>
      </x:c>
      <x:c r="L39" s="20" t="str">
        <x:v>Нет</x:v>
      </x:c>
      <x:c r="M39" s="20" t="str">
        <x:v>8-K preceded periodic filing by 3 days</x:v>
      </x:c>
      <x:c r="N39" s="20" t="str">
        <x:v>https://www.sec.gov/Archives/edgar/full-index/2026/QTR1/master.idx</x:v>
      </x:c>
    </x:row>
    <x:row r="40">
      <x:c r="A40" s="20" t="str">
        <x:v>2026Q1</x:v>
      </x:c>
      <x:c r="B40" s="40" t="n">
        <x:v>46112</x:v>
      </x:c>
      <x:c r="C40" s="20" t="str">
        <x:v>CSWC</x:v>
      </x:c>
      <x:c r="D40" s="20" t="str">
        <x:v>Listed</x:v>
      </x:c>
      <x:c r="E40" s="20" t="str">
        <x:v>Capital Southwest</x:v>
      </x:c>
      <x:c r="F40" s="40" t="n">
        <x:v>46161</x:v>
      </x:c>
      <x:c r="G40" s="20"/>
      <x:c r="H40" s="20" t="str">
        <x:v>8-K</x:v>
      </x:c>
      <x:c r="I40" s="40" t="n">
        <x:v>46161</x:v>
      </x:c>
      <x:c r="J40" s="41" t="n">
        <x:v>0</x:v>
      </x:c>
      <x:c r="K40" s="20" t="str">
        <x:v>Medium</x:v>
      </x:c>
      <x:c r="L40" s="20" t="str">
        <x:v>Нет</x:v>
      </x:c>
      <x:c r="M40" s="20" t="str"/>
      <x:c r="N40" s="20" t="str">
        <x:v>https://www.sec.gov/Archives/edgar/full-index/2026/QTR2/master.idx</x:v>
      </x:c>
    </x:row>
    <x:row r="41">
      <x:c r="A41" s="20" t="str">
        <x:v>2025Q2</x:v>
      </x:c>
      <x:c r="B41" s="40" t="n">
        <x:v>45838</x:v>
      </x:c>
      <x:c r="C41" s="20" t="str">
        <x:v>CGBD</x:v>
      </x:c>
      <x:c r="D41" s="20" t="str">
        <x:v>Listed</x:v>
      </x:c>
      <x:c r="E41" s="20" t="str">
        <x:v>Carlyle</x:v>
      </x:c>
      <x:c r="F41" s="40" t="n">
        <x:v>45874</x:v>
      </x:c>
      <x:c r="G41" s="20"/>
      <x:c r="H41" s="20" t="str">
        <x:v>8-K</x:v>
      </x:c>
      <x:c r="I41" s="40" t="n">
        <x:v>45874</x:v>
      </x:c>
      <x:c r="J41" s="41" t="n">
        <x:v>0</x:v>
      </x:c>
      <x:c r="K41" s="20" t="str">
        <x:v>Medium</x:v>
      </x:c>
      <x:c r="L41" s="20" t="str">
        <x:v>Нет</x:v>
      </x:c>
      <x:c r="M41" s="20" t="str"/>
      <x:c r="N41" s="20" t="str">
        <x:v>https://www.sec.gov/Archives/edgar/full-index/2025/QTR3/master.idx</x:v>
      </x:c>
    </x:row>
    <x:row r="42">
      <x:c r="A42" s="20" t="str">
        <x:v>2025Q3</x:v>
      </x:c>
      <x:c r="B42" s="40" t="n">
        <x:v>45930</x:v>
      </x:c>
      <x:c r="C42" s="20" t="str">
        <x:v>CGBD</x:v>
      </x:c>
      <x:c r="D42" s="20" t="str">
        <x:v>Listed</x:v>
      </x:c>
      <x:c r="E42" s="20" t="str">
        <x:v>Carlyle</x:v>
      </x:c>
      <x:c r="F42" s="40" t="n">
        <x:v>45965</x:v>
      </x:c>
      <x:c r="G42" s="20"/>
      <x:c r="H42" s="20" t="str">
        <x:v>8-K</x:v>
      </x:c>
      <x:c r="I42" s="40" t="n">
        <x:v>45965</x:v>
      </x:c>
      <x:c r="J42" s="41" t="n">
        <x:v>0</x:v>
      </x:c>
      <x:c r="K42" s="20" t="str">
        <x:v>Medium</x:v>
      </x:c>
      <x:c r="L42" s="20" t="str">
        <x:v>Нет</x:v>
      </x:c>
      <x:c r="M42" s="20" t="str"/>
      <x:c r="N42" s="20" t="str">
        <x:v>https://www.sec.gov/Archives/edgar/full-index/2025/QTR4/master.idx</x:v>
      </x:c>
    </x:row>
    <x:row r="43">
      <x:c r="A43" s="20" t="str">
        <x:v>2025Q4</x:v>
      </x:c>
      <x:c r="B43" s="40" t="n">
        <x:v>46022</x:v>
      </x:c>
      <x:c r="C43" s="20" t="str">
        <x:v>CGBD</x:v>
      </x:c>
      <x:c r="D43" s="20" t="str">
        <x:v>Listed</x:v>
      </x:c>
      <x:c r="E43" s="20" t="str">
        <x:v>Carlyle</x:v>
      </x:c>
      <x:c r="F43" s="40" t="n">
        <x:v>46076</x:v>
      </x:c>
      <x:c r="G43" s="20"/>
      <x:c r="H43" s="20" t="str">
        <x:v>8-K</x:v>
      </x:c>
      <x:c r="I43" s="40" t="n">
        <x:v>46077</x:v>
      </x:c>
      <x:c r="J43" s="41" t="n">
        <x:v>1</x:v>
      </x:c>
      <x:c r="K43" s="20" t="str">
        <x:v>Medium</x:v>
      </x:c>
      <x:c r="L43" s="20" t="str">
        <x:v>Нет</x:v>
      </x:c>
      <x:c r="M43" s="20" t="str"/>
      <x:c r="N43" s="20" t="str">
        <x:v>https://www.sec.gov/Archives/edgar/full-index/2026/QTR1/master.idx</x:v>
      </x:c>
    </x:row>
    <x:row r="44">
      <x:c r="A44" s="20" t="str">
        <x:v>2026Q1</x:v>
      </x:c>
      <x:c r="B44" s="40" t="n">
        <x:v>46112</x:v>
      </x:c>
      <x:c r="C44" s="20" t="str">
        <x:v>CGBD</x:v>
      </x:c>
      <x:c r="D44" s="20" t="str">
        <x:v>Listed</x:v>
      </x:c>
      <x:c r="E44" s="20" t="str">
        <x:v>Carlyle</x:v>
      </x:c>
      <x:c r="F44" s="40" t="n">
        <x:v>46153</x:v>
      </x:c>
      <x:c r="G44" s="20"/>
      <x:c r="H44" s="20" t="str">
        <x:v>8-K</x:v>
      </x:c>
      <x:c r="I44" s="40" t="n">
        <x:v>46153</x:v>
      </x:c>
      <x:c r="J44" s="41" t="n">
        <x:v>0</x:v>
      </x:c>
      <x:c r="K44" s="20" t="str">
        <x:v>Medium</x:v>
      </x:c>
      <x:c r="L44" s="20" t="str">
        <x:v>Нет</x:v>
      </x:c>
      <x:c r="M44" s="20" t="str"/>
      <x:c r="N44" s="20" t="str">
        <x:v>https://www.sec.gov/Archives/edgar/full-index/2026/QTR2/master.idx</x:v>
      </x:c>
    </x:row>
    <x:row r="45">
      <x:c r="A45" s="20" t="str">
        <x:v>2025Q2</x:v>
      </x:c>
      <x:c r="B45" s="40" t="n">
        <x:v>45838</x:v>
      </x:c>
      <x:c r="C45" s="20" t="str">
        <x:v>MFIC</x:v>
      </x:c>
      <x:c r="D45" s="20" t="str">
        <x:v>Listed</x:v>
      </x:c>
      <x:c r="E45" s="20" t="str">
        <x:v>MidCap / Apollo</x:v>
      </x:c>
      <x:c r="F45" s="40" t="n">
        <x:v>45880</x:v>
      </x:c>
      <x:c r="G45" s="20"/>
      <x:c r="H45" s="20" t="str">
        <x:v>8-K</x:v>
      </x:c>
      <x:c r="I45" s="40" t="n">
        <x:v>45880</x:v>
      </x:c>
      <x:c r="J45" s="41" t="n">
        <x:v>0</x:v>
      </x:c>
      <x:c r="K45" s="20" t="str">
        <x:v>Medium</x:v>
      </x:c>
      <x:c r="L45" s="20" t="str">
        <x:v>Нет</x:v>
      </x:c>
      <x:c r="M45" s="20" t="str"/>
      <x:c r="N45" s="20" t="str">
        <x:v>https://www.sec.gov/Archives/edgar/full-index/2025/QTR3/master.idx</x:v>
      </x:c>
    </x:row>
    <x:row r="46">
      <x:c r="A46" s="20" t="str">
        <x:v>2025Q3</x:v>
      </x:c>
      <x:c r="B46" s="40" t="n">
        <x:v>45930</x:v>
      </x:c>
      <x:c r="C46" s="20" t="str">
        <x:v>MFIC</x:v>
      </x:c>
      <x:c r="D46" s="20" t="str">
        <x:v>Listed</x:v>
      </x:c>
      <x:c r="E46" s="20" t="str">
        <x:v>MidCap / Apollo</x:v>
      </x:c>
      <x:c r="F46" s="40" t="n">
        <x:v>45967</x:v>
      </x:c>
      <x:c r="G46" s="20"/>
      <x:c r="H46" s="20" t="str">
        <x:v>8-K</x:v>
      </x:c>
      <x:c r="I46" s="40" t="n">
        <x:v>45967</x:v>
      </x:c>
      <x:c r="J46" s="41" t="n">
        <x:v>0</x:v>
      </x:c>
      <x:c r="K46" s="20" t="str">
        <x:v>Medium</x:v>
      </x:c>
      <x:c r="L46" s="20" t="str">
        <x:v>Нет</x:v>
      </x:c>
      <x:c r="M46" s="20" t="str"/>
      <x:c r="N46" s="20" t="str">
        <x:v>https://www.sec.gov/Archives/edgar/full-index/2025/QTR4/master.idx</x:v>
      </x:c>
    </x:row>
    <x:row r="47">
      <x:c r="A47" s="20" t="str">
        <x:v>2025Q4</x:v>
      </x:c>
      <x:c r="B47" s="40" t="n">
        <x:v>46022</x:v>
      </x:c>
      <x:c r="C47" s="20" t="str">
        <x:v>MFIC</x:v>
      </x:c>
      <x:c r="D47" s="20" t="str">
        <x:v>Listed</x:v>
      </x:c>
      <x:c r="E47" s="20" t="str">
        <x:v>MidCap / Apollo</x:v>
      </x:c>
      <x:c r="F47" s="40" t="n">
        <x:v>46079</x:v>
      </x:c>
      <x:c r="G47" s="20"/>
      <x:c r="H47" s="20" t="str">
        <x:v>8-K</x:v>
      </x:c>
      <x:c r="I47" s="40" t="n">
        <x:v>46079</x:v>
      </x:c>
      <x:c r="J47" s="41" t="n">
        <x:v>0</x:v>
      </x:c>
      <x:c r="K47" s="20" t="str">
        <x:v>Medium</x:v>
      </x:c>
      <x:c r="L47" s="20" t="str">
        <x:v>Нет</x:v>
      </x:c>
      <x:c r="M47" s="20" t="str"/>
      <x:c r="N47" s="20" t="str">
        <x:v>https://www.sec.gov/Archives/edgar/full-index/2026/QTR1/master.idx</x:v>
      </x:c>
    </x:row>
    <x:row r="48">
      <x:c r="A48" s="20" t="str">
        <x:v>2026Q1</x:v>
      </x:c>
      <x:c r="B48" s="40" t="n">
        <x:v>46112</x:v>
      </x:c>
      <x:c r="C48" s="20" t="str">
        <x:v>MFIC</x:v>
      </x:c>
      <x:c r="D48" s="20" t="str">
        <x:v>Listed</x:v>
      </x:c>
      <x:c r="E48" s="20" t="str">
        <x:v>MidCap / Apollo</x:v>
      </x:c>
      <x:c r="F48" s="40" t="n">
        <x:v>46148</x:v>
      </x:c>
      <x:c r="G48" s="20"/>
      <x:c r="H48" s="20" t="str">
        <x:v>8-K</x:v>
      </x:c>
      <x:c r="I48" s="40" t="n">
        <x:v>46148</x:v>
      </x:c>
      <x:c r="J48" s="41" t="n">
        <x:v>0</x:v>
      </x:c>
      <x:c r="K48" s="20" t="str">
        <x:v>Medium</x:v>
      </x:c>
      <x:c r="L48" s="20" t="str">
        <x:v>Нет</x:v>
      </x:c>
      <x:c r="M48" s="20" t="str"/>
      <x:c r="N48" s="20" t="str">
        <x:v>https://www.sec.gov/Archives/edgar/full-index/2026/QTR2/master.idx</x:v>
      </x:c>
    </x:row>
    <x:row r="49">
      <x:c r="A49" s="20" t="str">
        <x:v>2025Q2</x:v>
      </x:c>
      <x:c r="B49" s="40" t="n">
        <x:v>45838</x:v>
      </x:c>
      <x:c r="C49" s="20" t="str">
        <x:v>NMFC</x:v>
      </x:c>
      <x:c r="D49" s="20" t="str">
        <x:v>Listed</x:v>
      </x:c>
      <x:c r="E49" s="20" t="str">
        <x:v>New Mountain</x:v>
      </x:c>
      <x:c r="F49" s="40" t="n">
        <x:v>45873</x:v>
      </x:c>
      <x:c r="G49" s="20"/>
      <x:c r="H49" s="20" t="str">
        <x:v>8-K</x:v>
      </x:c>
      <x:c r="I49" s="40" t="n">
        <x:v>45873</x:v>
      </x:c>
      <x:c r="J49" s="41" t="n">
        <x:v>0</x:v>
      </x:c>
      <x:c r="K49" s="20" t="str">
        <x:v>Medium</x:v>
      </x:c>
      <x:c r="L49" s="20" t="str">
        <x:v>Нет</x:v>
      </x:c>
      <x:c r="M49" s="20" t="str"/>
      <x:c r="N49" s="20" t="str">
        <x:v>https://www.sec.gov/Archives/edgar/full-index/2025/QTR3/master.idx</x:v>
      </x:c>
    </x:row>
    <x:row r="50">
      <x:c r="A50" s="20" t="str">
        <x:v>2025Q3</x:v>
      </x:c>
      <x:c r="B50" s="40" t="n">
        <x:v>45930</x:v>
      </x:c>
      <x:c r="C50" s="20" t="str">
        <x:v>NMFC</x:v>
      </x:c>
      <x:c r="D50" s="20" t="str">
        <x:v>Listed</x:v>
      </x:c>
      <x:c r="E50" s="20" t="str">
        <x:v>New Mountain</x:v>
      </x:c>
      <x:c r="F50" s="40" t="n">
        <x:v>45964</x:v>
      </x:c>
      <x:c r="G50" s="20"/>
      <x:c r="H50" s="20" t="str">
        <x:v>8-K</x:v>
      </x:c>
      <x:c r="I50" s="40" t="n">
        <x:v>45964</x:v>
      </x:c>
      <x:c r="J50" s="41" t="n">
        <x:v>0</x:v>
      </x:c>
      <x:c r="K50" s="20" t="str">
        <x:v>Medium</x:v>
      </x:c>
      <x:c r="L50" s="20" t="str">
        <x:v>Нет</x:v>
      </x:c>
      <x:c r="M50" s="20" t="str"/>
      <x:c r="N50" s="20" t="str">
        <x:v>https://www.sec.gov/Archives/edgar/full-index/2025/QTR4/master.idx</x:v>
      </x:c>
    </x:row>
    <x:row r="51">
      <x:c r="A51" s="20" t="str">
        <x:v>2025Q4</x:v>
      </x:c>
      <x:c r="B51" s="40" t="n">
        <x:v>46022</x:v>
      </x:c>
      <x:c r="C51" s="20" t="str">
        <x:v>NMFC</x:v>
      </x:c>
      <x:c r="D51" s="20" t="str">
        <x:v>Listed</x:v>
      </x:c>
      <x:c r="E51" s="20" t="str">
        <x:v>New Mountain</x:v>
      </x:c>
      <x:c r="F51" s="40" t="n">
        <x:v>46077</x:v>
      </x:c>
      <x:c r="G51" s="20"/>
      <x:c r="H51" s="20" t="str">
        <x:v>8-K</x:v>
      </x:c>
      <x:c r="I51" s="40" t="n">
        <x:v>46077</x:v>
      </x:c>
      <x:c r="J51" s="41" t="n">
        <x:v>0</x:v>
      </x:c>
      <x:c r="K51" s="20" t="str">
        <x:v>Medium</x:v>
      </x:c>
      <x:c r="L51" s="20" t="str">
        <x:v>Нет</x:v>
      </x:c>
      <x:c r="M51" s="20" t="str"/>
      <x:c r="N51" s="20" t="str">
        <x:v>https://www.sec.gov/Archives/edgar/full-index/2026/QTR1/master.idx</x:v>
      </x:c>
    </x:row>
    <x:row r="52">
      <x:c r="A52" s="20" t="str">
        <x:v>2026Q1</x:v>
      </x:c>
      <x:c r="B52" s="40" t="n">
        <x:v>46112</x:v>
      </x:c>
      <x:c r="C52" s="20" t="str">
        <x:v>NMFC</x:v>
      </x:c>
      <x:c r="D52" s="20" t="str">
        <x:v>Listed</x:v>
      </x:c>
      <x:c r="E52" s="20" t="str">
        <x:v>New Mountain</x:v>
      </x:c>
      <x:c r="F52" s="40" t="n">
        <x:v>46146</x:v>
      </x:c>
      <x:c r="G52" s="20"/>
      <x:c r="H52" s="20" t="str">
        <x:v>8-K</x:v>
      </x:c>
      <x:c r="I52" s="40" t="n">
        <x:v>46146</x:v>
      </x:c>
      <x:c r="J52" s="41" t="n">
        <x:v>0</x:v>
      </x:c>
      <x:c r="K52" s="20" t="str">
        <x:v>Medium</x:v>
      </x:c>
      <x:c r="L52" s="20" t="str">
        <x:v>Нет</x:v>
      </x:c>
      <x:c r="M52" s="20" t="str"/>
      <x:c r="N52" s="20" t="str">
        <x:v>https://www.sec.gov/Archives/edgar/full-index/2026/QTR2/master.idx</x:v>
      </x:c>
    </x:row>
    <x:row r="53">
      <x:c r="A53" s="20" t="str">
        <x:v>2025Q2</x:v>
      </x:c>
      <x:c r="B53" s="40" t="n">
        <x:v>45838</x:v>
      </x:c>
      <x:c r="C53" s="20" t="str">
        <x:v>OCSL</x:v>
      </x:c>
      <x:c r="D53" s="20" t="str">
        <x:v>Listed</x:v>
      </x:c>
      <x:c r="E53" s="20" t="str">
        <x:v>Oaktree</x:v>
      </x:c>
      <x:c r="F53" s="40" t="n">
        <x:v>45874</x:v>
      </x:c>
      <x:c r="G53" s="20"/>
      <x:c r="H53" s="20" t="str">
        <x:v>8-K</x:v>
      </x:c>
      <x:c r="I53" s="40" t="n">
        <x:v>45874</x:v>
      </x:c>
      <x:c r="J53" s="41" t="n">
        <x:v>0</x:v>
      </x:c>
      <x:c r="K53" s="20" t="str">
        <x:v>Medium</x:v>
      </x:c>
      <x:c r="L53" s="20" t="str">
        <x:v>Нет</x:v>
      </x:c>
      <x:c r="M53" s="20" t="str"/>
      <x:c r="N53" s="20" t="str">
        <x:v>https://www.sec.gov/Archives/edgar/full-index/2025/QTR3/master.idx</x:v>
      </x:c>
    </x:row>
    <x:row r="54">
      <x:c r="A54" s="20" t="str">
        <x:v>2025Q3</x:v>
      </x:c>
      <x:c r="B54" s="40" t="n">
        <x:v>45930</x:v>
      </x:c>
      <x:c r="C54" s="20" t="str">
        <x:v>OCSL</x:v>
      </x:c>
      <x:c r="D54" s="20" t="str">
        <x:v>Listed</x:v>
      </x:c>
      <x:c r="E54" s="20" t="str">
        <x:v>Oaktree</x:v>
      </x:c>
      <x:c r="F54" s="40" t="n">
        <x:v>45979</x:v>
      </x:c>
      <x:c r="G54" s="20"/>
      <x:c r="H54" s="20" t="str">
        <x:v>8-K</x:v>
      </x:c>
      <x:c r="I54" s="40" t="n">
        <x:v>45979</x:v>
      </x:c>
      <x:c r="J54" s="41" t="n">
        <x:v>0</x:v>
      </x:c>
      <x:c r="K54" s="20" t="str">
        <x:v>Medium</x:v>
      </x:c>
      <x:c r="L54" s="20" t="str">
        <x:v>Нет</x:v>
      </x:c>
      <x:c r="M54" s="20" t="str"/>
      <x:c r="N54" s="20" t="str">
        <x:v>https://www.sec.gov/Archives/edgar/full-index/2025/QTR4/master.idx</x:v>
      </x:c>
    </x:row>
    <x:row r="55">
      <x:c r="A55" s="20" t="str">
        <x:v>2025Q4</x:v>
      </x:c>
      <x:c r="B55" s="40" t="n">
        <x:v>46022</x:v>
      </x:c>
      <x:c r="C55" s="20" t="str">
        <x:v>OCSL</x:v>
      </x:c>
      <x:c r="D55" s="20" t="str">
        <x:v>Listed</x:v>
      </x:c>
      <x:c r="E55" s="20" t="str">
        <x:v>Oaktree</x:v>
      </x:c>
      <x:c r="F55" s="40" t="n">
        <x:v>46057</x:v>
      </x:c>
      <x:c r="G55" s="20"/>
      <x:c r="H55" s="20" t="str">
        <x:v>8-K</x:v>
      </x:c>
      <x:c r="I55" s="40" t="n">
        <x:v>46057</x:v>
      </x:c>
      <x:c r="J55" s="41" t="n">
        <x:v>0</x:v>
      </x:c>
      <x:c r="K55" s="20" t="str">
        <x:v>Medium</x:v>
      </x:c>
      <x:c r="L55" s="20" t="str">
        <x:v>Нет</x:v>
      </x:c>
      <x:c r="M55" s="20" t="str"/>
      <x:c r="N55" s="20" t="str">
        <x:v>https://www.sec.gov/Archives/edgar/full-index/2026/QTR1/master.idx</x:v>
      </x:c>
    </x:row>
    <x:row r="56">
      <x:c r="A56" s="20" t="str">
        <x:v>2026Q1</x:v>
      </x:c>
      <x:c r="B56" s="40" t="n">
        <x:v>46112</x:v>
      </x:c>
      <x:c r="C56" s="20" t="str">
        <x:v>OCSL</x:v>
      </x:c>
      <x:c r="D56" s="20" t="str">
        <x:v>Listed</x:v>
      </x:c>
      <x:c r="E56" s="20" t="str">
        <x:v>Oaktree</x:v>
      </x:c>
      <x:c r="F56" s="40" t="n">
        <x:v>46147</x:v>
      </x:c>
      <x:c r="G56" s="20"/>
      <x:c r="H56" s="20" t="str">
        <x:v>8-K</x:v>
      </x:c>
      <x:c r="I56" s="40" t="n">
        <x:v>46147</x:v>
      </x:c>
      <x:c r="J56" s="41" t="n">
        <x:v>0</x:v>
      </x:c>
      <x:c r="K56" s="20" t="str">
        <x:v>Medium</x:v>
      </x:c>
      <x:c r="L56" s="20" t="str">
        <x:v>Нет</x:v>
      </x:c>
      <x:c r="M56" s="20" t="str"/>
      <x:c r="N56" s="20" t="str">
        <x:v>https://www.sec.gov/Archives/edgar/full-index/2026/QTR2/master.idx</x:v>
      </x:c>
    </x:row>
    <x:row r="57">
      <x:c r="A57" s="20" t="str">
        <x:v>2025Q2</x:v>
      </x:c>
      <x:c r="B57" s="40" t="n">
        <x:v>45838</x:v>
      </x:c>
      <x:c r="C57" s="20" t="str">
        <x:v>BCSF</x:v>
      </x:c>
      <x:c r="D57" s="20" t="str">
        <x:v>Listed</x:v>
      </x:c>
      <x:c r="E57" s="20" t="str">
        <x:v>Bain Capital</x:v>
      </x:c>
      <x:c r="F57" s="40" t="n">
        <x:v>45874</x:v>
      </x:c>
      <x:c r="G57" s="20"/>
      <x:c r="H57" s="20" t="str">
        <x:v>8-K</x:v>
      </x:c>
      <x:c r="I57" s="40" t="n">
        <x:v>45874</x:v>
      </x:c>
      <x:c r="J57" s="41" t="n">
        <x:v>0</x:v>
      </x:c>
      <x:c r="K57" s="20" t="str">
        <x:v>Medium</x:v>
      </x:c>
      <x:c r="L57" s="20" t="str">
        <x:v>Нет</x:v>
      </x:c>
      <x:c r="M57" s="20" t="str"/>
      <x:c r="N57" s="20" t="str">
        <x:v>https://www.sec.gov/Archives/edgar/full-index/2025/QTR3/master.idx</x:v>
      </x:c>
    </x:row>
    <x:row r="58">
      <x:c r="A58" s="20" t="str">
        <x:v>2025Q3</x:v>
      </x:c>
      <x:c r="B58" s="40" t="n">
        <x:v>45930</x:v>
      </x:c>
      <x:c r="C58" s="20" t="str">
        <x:v>BCSF</x:v>
      </x:c>
      <x:c r="D58" s="20" t="str">
        <x:v>Listed</x:v>
      </x:c>
      <x:c r="E58" s="20" t="str">
        <x:v>Bain Capital</x:v>
      </x:c>
      <x:c r="F58" s="40" t="n">
        <x:v>45971</x:v>
      </x:c>
      <x:c r="G58" s="20"/>
      <x:c r="H58" s="20" t="str">
        <x:v>8-K</x:v>
      </x:c>
      <x:c r="I58" s="40" t="n">
        <x:v>45971</x:v>
      </x:c>
      <x:c r="J58" s="41" t="n">
        <x:v>0</x:v>
      </x:c>
      <x:c r="K58" s="20" t="str">
        <x:v>Medium</x:v>
      </x:c>
      <x:c r="L58" s="20" t="str">
        <x:v>Нет</x:v>
      </x:c>
      <x:c r="M58" s="20" t="str"/>
      <x:c r="N58" s="20" t="str">
        <x:v>https://www.sec.gov/Archives/edgar/full-index/2025/QTR4/master.idx</x:v>
      </x:c>
    </x:row>
    <x:row r="59">
      <x:c r="A59" s="20" t="str">
        <x:v>2025Q4</x:v>
      </x:c>
      <x:c r="B59" s="40" t="n">
        <x:v>46022</x:v>
      </x:c>
      <x:c r="C59" s="20" t="str">
        <x:v>BCSF</x:v>
      </x:c>
      <x:c r="D59" s="20" t="str">
        <x:v>Listed</x:v>
      </x:c>
      <x:c r="E59" s="20" t="str">
        <x:v>Bain Capital</x:v>
      </x:c>
      <x:c r="F59" s="40" t="n">
        <x:v>46080</x:v>
      </x:c>
      <x:c r="G59" s="20"/>
      <x:c r="H59" s="20" t="str">
        <x:v>8-K</x:v>
      </x:c>
      <x:c r="I59" s="40" t="n">
        <x:v>46080</x:v>
      </x:c>
      <x:c r="J59" s="41" t="n">
        <x:v>0</x:v>
      </x:c>
      <x:c r="K59" s="20" t="str">
        <x:v>Medium</x:v>
      </x:c>
      <x:c r="L59" s="20" t="str">
        <x:v>Нет</x:v>
      </x:c>
      <x:c r="M59" s="20" t="str"/>
      <x:c r="N59" s="20" t="str">
        <x:v>https://www.sec.gov/Archives/edgar/full-index/2026/QTR1/master.idx</x:v>
      </x:c>
    </x:row>
    <x:row r="60">
      <x:c r="A60" s="20" t="str">
        <x:v>2026Q1</x:v>
      </x:c>
      <x:c r="B60" s="40" t="n">
        <x:v>46112</x:v>
      </x:c>
      <x:c r="C60" s="20" t="str">
        <x:v>BCSF</x:v>
      </x:c>
      <x:c r="D60" s="20" t="str">
        <x:v>Listed</x:v>
      </x:c>
      <x:c r="E60" s="20" t="str">
        <x:v>Bain Capital</x:v>
      </x:c>
      <x:c r="F60" s="40" t="n">
        <x:v>46153</x:v>
      </x:c>
      <x:c r="G60" s="20"/>
      <x:c r="H60" s="20" t="str">
        <x:v>10-Q</x:v>
      </x:c>
      <x:c r="I60" s="40" t="n">
        <x:v>46153</x:v>
      </x:c>
      <x:c r="J60" s="41" t="n">
        <x:v>0</x:v>
      </x:c>
      <x:c r="K60" s="20" t="str">
        <x:v>High</x:v>
      </x:c>
      <x:c r="L60" s="20" t="str">
        <x:v>Частично</x:v>
      </x:c>
      <x:c r="M60" s="20" t="str">
        <x:v>Periodic filing used directly</x:v>
      </x:c>
      <x:c r="N60" s="20" t="str">
        <x:v>https://www.sec.gov/Archives/edgar/full-index/2026/QTR2/master.idx</x:v>
      </x:c>
    </x:row>
    <x:row r="61">
      <x:c r="A61" s="20" t="str">
        <x:v>2025Q2</x:v>
      </x:c>
      <x:c r="B61" s="40" t="n">
        <x:v>45838</x:v>
      </x:c>
      <x:c r="C61" s="20" t="str">
        <x:v>CION</x:v>
      </x:c>
      <x:c r="D61" s="20" t="str">
        <x:v>Listed</x:v>
      </x:c>
      <x:c r="E61" s="20" t="str">
        <x:v>CION Investment Management</x:v>
      </x:c>
      <x:c r="F61" s="40" t="n">
        <x:v>45876</x:v>
      </x:c>
      <x:c r="G61" s="20"/>
      <x:c r="H61" s="20" t="str">
        <x:v>8-K</x:v>
      </x:c>
      <x:c r="I61" s="40" t="n">
        <x:v>45876</x:v>
      </x:c>
      <x:c r="J61" s="41" t="n">
        <x:v>0</x:v>
      </x:c>
      <x:c r="K61" s="20" t="str">
        <x:v>Medium</x:v>
      </x:c>
      <x:c r="L61" s="20" t="str">
        <x:v>Нет</x:v>
      </x:c>
      <x:c r="M61" s="20" t="str"/>
      <x:c r="N61" s="20" t="str">
        <x:v>https://www.sec.gov/Archives/edgar/full-index/2025/QTR3/master.idx</x:v>
      </x:c>
    </x:row>
    <x:row r="62">
      <x:c r="A62" s="20" t="str">
        <x:v>2025Q3</x:v>
      </x:c>
      <x:c r="B62" s="40" t="n">
        <x:v>45930</x:v>
      </x:c>
      <x:c r="C62" s="20" t="str">
        <x:v>CION</x:v>
      </x:c>
      <x:c r="D62" s="20" t="str">
        <x:v>Listed</x:v>
      </x:c>
      <x:c r="E62" s="20" t="str">
        <x:v>CION Investment Management</x:v>
      </x:c>
      <x:c r="F62" s="40" t="n">
        <x:v>45967</x:v>
      </x:c>
      <x:c r="G62" s="20"/>
      <x:c r="H62" s="20" t="str">
        <x:v>8-K</x:v>
      </x:c>
      <x:c r="I62" s="40" t="n">
        <x:v>45967</x:v>
      </x:c>
      <x:c r="J62" s="41" t="n">
        <x:v>0</x:v>
      </x:c>
      <x:c r="K62" s="20" t="str">
        <x:v>Medium</x:v>
      </x:c>
      <x:c r="L62" s="20" t="str">
        <x:v>Нет</x:v>
      </x:c>
      <x:c r="M62" s="20" t="str"/>
      <x:c r="N62" s="20" t="str">
        <x:v>https://www.sec.gov/Archives/edgar/full-index/2025/QTR4/master.idx</x:v>
      </x:c>
    </x:row>
    <x:row r="63">
      <x:c r="A63" s="20" t="str">
        <x:v>2025Q4</x:v>
      </x:c>
      <x:c r="B63" s="40" t="n">
        <x:v>46022</x:v>
      </x:c>
      <x:c r="C63" s="20" t="str">
        <x:v>CION</x:v>
      </x:c>
      <x:c r="D63" s="20" t="str">
        <x:v>Listed</x:v>
      </x:c>
      <x:c r="E63" s="20" t="str">
        <x:v>CION Investment Management</x:v>
      </x:c>
      <x:c r="F63" s="40" t="n">
        <x:v>46093</x:v>
      </x:c>
      <x:c r="G63" s="20"/>
      <x:c r="H63" s="20" t="str">
        <x:v>8-K</x:v>
      </x:c>
      <x:c r="I63" s="40" t="n">
        <x:v>46093</x:v>
      </x:c>
      <x:c r="J63" s="41" t="n">
        <x:v>0</x:v>
      </x:c>
      <x:c r="K63" s="20" t="str">
        <x:v>Medium</x:v>
      </x:c>
      <x:c r="L63" s="20" t="str">
        <x:v>Нет</x:v>
      </x:c>
      <x:c r="M63" s="20" t="str">
        <x:v>Very late listed filer</x:v>
      </x:c>
      <x:c r="N63" s="20" t="str">
        <x:v>https://www.sec.gov/Archives/edgar/full-index/2026/QTR1/master.idx</x:v>
      </x:c>
    </x:row>
    <x:row r="64">
      <x:c r="A64" s="20" t="str">
        <x:v>2026Q1</x:v>
      </x:c>
      <x:c r="B64" s="40" t="n">
        <x:v>46112</x:v>
      </x:c>
      <x:c r="C64" s="20" t="str">
        <x:v>CION</x:v>
      </x:c>
      <x:c r="D64" s="20" t="str">
        <x:v>Listed</x:v>
      </x:c>
      <x:c r="E64" s="20" t="str">
        <x:v>CION Investment Management</x:v>
      </x:c>
      <x:c r="F64" s="40" t="n">
        <x:v>46149</x:v>
      </x:c>
      <x:c r="G64" s="20"/>
      <x:c r="H64" s="20" t="str">
        <x:v>8-K</x:v>
      </x:c>
      <x:c r="I64" s="40" t="n">
        <x:v>46149</x:v>
      </x:c>
      <x:c r="J64" s="41" t="n">
        <x:v>0</x:v>
      </x:c>
      <x:c r="K64" s="20" t="str">
        <x:v>Medium</x:v>
      </x:c>
      <x:c r="L64" s="20" t="str">
        <x:v>Нет</x:v>
      </x:c>
      <x:c r="M64" s="20" t="str"/>
      <x:c r="N64" s="20" t="str">
        <x:v>https://www.sec.gov/Archives/edgar/full-index/2026/QTR2/master.idx</x:v>
      </x:c>
    </x:row>
    <x:row r="65">
      <x:c r="A65" s="20" t="str">
        <x:v>2025Q2</x:v>
      </x:c>
      <x:c r="B65" s="40" t="n">
        <x:v>45838</x:v>
      </x:c>
      <x:c r="C65" s="20" t="str">
        <x:v>BCRED</x:v>
      </x:c>
      <x:c r="D65" s="20" t="str">
        <x:v>Non-listed</x:v>
      </x:c>
      <x:c r="E65" s="20" t="str">
        <x:v>Blackstone</x:v>
      </x:c>
      <x:c r="F65" s="40" t="n">
        <x:v>45881</x:v>
      </x:c>
      <x:c r="G65" s="20"/>
      <x:c r="H65" s="20" t="str">
        <x:v>10-Q</x:v>
      </x:c>
      <x:c r="I65" s="40" t="n">
        <x:v>45881</x:v>
      </x:c>
      <x:c r="J65" s="41" t="n">
        <x:v>0</x:v>
      </x:c>
      <x:c r="K65" s="20" t="str">
        <x:v>High</x:v>
      </x:c>
      <x:c r="L65" s="20" t="str">
        <x:v>Частично</x:v>
      </x:c>
      <x:c r="M65" s="20" t="str">
        <x:v>Periodic filing used directly</x:v>
      </x:c>
      <x:c r="N65" s="20" t="str">
        <x:v>https://www.sec.gov/Archives/edgar/full-index/2025/QTR3/master.idx</x:v>
      </x:c>
    </x:row>
    <x:row r="66">
      <x:c r="A66" s="20" t="str">
        <x:v>2025Q3</x:v>
      </x:c>
      <x:c r="B66" s="40" t="n">
        <x:v>45930</x:v>
      </x:c>
      <x:c r="C66" s="20" t="str">
        <x:v>BCRED</x:v>
      </x:c>
      <x:c r="D66" s="20" t="str">
        <x:v>Non-listed</x:v>
      </x:c>
      <x:c r="E66" s="20" t="str">
        <x:v>Blackstone</x:v>
      </x:c>
      <x:c r="F66" s="40" t="n">
        <x:v>45974</x:v>
      </x:c>
      <x:c r="G66" s="20"/>
      <x:c r="H66" s="20" t="str">
        <x:v>10-Q</x:v>
      </x:c>
      <x:c r="I66" s="40" t="n">
        <x:v>45974</x:v>
      </x:c>
      <x:c r="J66" s="41" t="n">
        <x:v>0</x:v>
      </x:c>
      <x:c r="K66" s="20" t="str">
        <x:v>High</x:v>
      </x:c>
      <x:c r="L66" s="20" t="str">
        <x:v>Частично</x:v>
      </x:c>
      <x:c r="M66" s="20" t="str">
        <x:v>Periodic filing used directly</x:v>
      </x:c>
      <x:c r="N66" s="20" t="str">
        <x:v>https://www.sec.gov/Archives/edgar/full-index/2025/QTR4/master.idx</x:v>
      </x:c>
    </x:row>
    <x:row r="67">
      <x:c r="A67" s="20" t="str">
        <x:v>2025Q4</x:v>
      </x:c>
      <x:c r="B67" s="40" t="n">
        <x:v>46022</x:v>
      </x:c>
      <x:c r="C67" s="20" t="str">
        <x:v>BCRED</x:v>
      </x:c>
      <x:c r="D67" s="20" t="str">
        <x:v>Non-listed</x:v>
      </x:c>
      <x:c r="E67" s="20" t="str">
        <x:v>Blackstone</x:v>
      </x:c>
      <x:c r="F67" s="40" t="n">
        <x:v>46094</x:v>
      </x:c>
      <x:c r="G67" s="20"/>
      <x:c r="H67" s="20" t="str">
        <x:v>10-K</x:v>
      </x:c>
      <x:c r="I67" s="40" t="n">
        <x:v>46094</x:v>
      </x:c>
      <x:c r="J67" s="41" t="n">
        <x:v>0</x:v>
      </x:c>
      <x:c r="K67" s="20" t="str">
        <x:v>High</x:v>
      </x:c>
      <x:c r="L67" s="20" t="str">
        <x:v>Частично</x:v>
      </x:c>
      <x:c r="M67" s="20" t="str">
        <x:v>Periodic filing used directly</x:v>
      </x:c>
      <x:c r="N67" s="20" t="str">
        <x:v>https://www.sec.gov/Archives/edgar/full-index/2026/QTR1/master.idx</x:v>
      </x:c>
    </x:row>
    <x:row r="68">
      <x:c r="A68" s="20" t="str">
        <x:v>2026Q1</x:v>
      </x:c>
      <x:c r="B68" s="40" t="n">
        <x:v>46112</x:v>
      </x:c>
      <x:c r="C68" s="20" t="str">
        <x:v>BCRED</x:v>
      </x:c>
      <x:c r="D68" s="20" t="str">
        <x:v>Non-listed</x:v>
      </x:c>
      <x:c r="E68" s="20" t="str">
        <x:v>Blackstone</x:v>
      </x:c>
      <x:c r="F68" s="40" t="n">
        <x:v>46156</x:v>
      </x:c>
      <x:c r="G68" s="20"/>
      <x:c r="H68" s="20" t="str">
        <x:v>10-Q</x:v>
      </x:c>
      <x:c r="I68" s="40" t="n">
        <x:v>46156</x:v>
      </x:c>
      <x:c r="J68" s="41" t="n">
        <x:v>0</x:v>
      </x:c>
      <x:c r="K68" s="20" t="str">
        <x:v>High</x:v>
      </x:c>
      <x:c r="L68" s="20" t="str">
        <x:v>Частично</x:v>
      </x:c>
      <x:c r="M68" s="20" t="str">
        <x:v>Periodic filing used directly</x:v>
      </x:c>
      <x:c r="N68" s="20" t="str">
        <x:v>https://www.sec.gov/Archives/edgar/full-index/2026/QTR2/master.idx</x:v>
      </x:c>
    </x:row>
    <x:row r="69">
      <x:c r="A69" s="20" t="str">
        <x:v>2025Q2</x:v>
      </x:c>
      <x:c r="B69" s="40" t="n">
        <x:v>45838</x:v>
      </x:c>
      <x:c r="C69" s="20" t="str">
        <x:v>OCIC</x:v>
      </x:c>
      <x:c r="D69" s="20" t="str">
        <x:v>Non-listed</x:v>
      </x:c>
      <x:c r="E69" s="20" t="str">
        <x:v>Blue Owl</x:v>
      </x:c>
      <x:c r="F69" s="40" t="n">
        <x:v>45876</x:v>
      </x:c>
      <x:c r="G69" s="20"/>
      <x:c r="H69" s="20" t="str">
        <x:v>10-Q</x:v>
      </x:c>
      <x:c r="I69" s="40" t="n">
        <x:v>45876</x:v>
      </x:c>
      <x:c r="J69" s="41" t="n">
        <x:v>0</x:v>
      </x:c>
      <x:c r="K69" s="20" t="str">
        <x:v>High</x:v>
      </x:c>
      <x:c r="L69" s="20" t="str">
        <x:v>Частично</x:v>
      </x:c>
      <x:c r="M69" s="20" t="str">
        <x:v>Periodic filing used directly</x:v>
      </x:c>
      <x:c r="N69" s="20" t="str">
        <x:v>https://www.sec.gov/Archives/edgar/full-index/2025/QTR3/master.idx</x:v>
      </x:c>
    </x:row>
    <x:row r="70">
      <x:c r="A70" s="20" t="str">
        <x:v>2025Q3</x:v>
      </x:c>
      <x:c r="B70" s="40" t="n">
        <x:v>45930</x:v>
      </x:c>
      <x:c r="C70" s="20" t="str">
        <x:v>OCIC</x:v>
      </x:c>
      <x:c r="D70" s="20" t="str">
        <x:v>Non-listed</x:v>
      </x:c>
      <x:c r="E70" s="20" t="str">
        <x:v>Blue Owl</x:v>
      </x:c>
      <x:c r="F70" s="40" t="n">
        <x:v>45967</x:v>
      </x:c>
      <x:c r="G70" s="20"/>
      <x:c r="H70" s="20" t="str">
        <x:v>10-Q</x:v>
      </x:c>
      <x:c r="I70" s="40" t="n">
        <x:v>45967</x:v>
      </x:c>
      <x:c r="J70" s="41" t="n">
        <x:v>0</x:v>
      </x:c>
      <x:c r="K70" s="20" t="str">
        <x:v>High</x:v>
      </x:c>
      <x:c r="L70" s="20" t="str">
        <x:v>Частично</x:v>
      </x:c>
      <x:c r="M70" s="20" t="str">
        <x:v>Periodic filing used directly</x:v>
      </x:c>
      <x:c r="N70" s="20" t="str">
        <x:v>https://www.sec.gov/Archives/edgar/full-index/2025/QTR4/master.idx</x:v>
      </x:c>
    </x:row>
    <x:row r="71">
      <x:c r="A71" s="20" t="str">
        <x:v>2025Q4</x:v>
      </x:c>
      <x:c r="B71" s="40" t="n">
        <x:v>46022</x:v>
      </x:c>
      <x:c r="C71" s="20" t="str">
        <x:v>OCIC</x:v>
      </x:c>
      <x:c r="D71" s="20" t="str">
        <x:v>Non-listed</x:v>
      </x:c>
      <x:c r="E71" s="20" t="str">
        <x:v>Blue Owl</x:v>
      </x:c>
      <x:c r="F71" s="40" t="n">
        <x:v>46084</x:v>
      </x:c>
      <x:c r="G71" s="20"/>
      <x:c r="H71" s="20" t="str">
        <x:v>10-K</x:v>
      </x:c>
      <x:c r="I71" s="40" t="n">
        <x:v>46084</x:v>
      </x:c>
      <x:c r="J71" s="41" t="n">
        <x:v>0</x:v>
      </x:c>
      <x:c r="K71" s="20" t="str">
        <x:v>High</x:v>
      </x:c>
      <x:c r="L71" s="20" t="str">
        <x:v>Частично</x:v>
      </x:c>
      <x:c r="M71" s="20" t="str">
        <x:v>Periodic filing used directly</x:v>
      </x:c>
      <x:c r="N71" s="20" t="str">
        <x:v>https://www.sec.gov/Archives/edgar/full-index/2026/QTR1/master.idx</x:v>
      </x:c>
    </x:row>
    <x:row r="72">
      <x:c r="A72" s="20" t="str">
        <x:v>2026Q1</x:v>
      </x:c>
      <x:c r="B72" s="40" t="n">
        <x:v>46112</x:v>
      </x:c>
      <x:c r="C72" s="20" t="str">
        <x:v>OCIC</x:v>
      </x:c>
      <x:c r="D72" s="20" t="str">
        <x:v>Non-listed</x:v>
      </x:c>
      <x:c r="E72" s="20" t="str">
        <x:v>Blue Owl</x:v>
      </x:c>
      <x:c r="F72" s="40" t="n">
        <x:v>46153</x:v>
      </x:c>
      <x:c r="G72" s="20"/>
      <x:c r="H72" s="20" t="str">
        <x:v>8-K</x:v>
      </x:c>
      <x:c r="I72" s="40" t="n">
        <x:v>46153</x:v>
      </x:c>
      <x:c r="J72" s="41" t="n">
        <x:v>0</x:v>
      </x:c>
      <x:c r="K72" s="20" t="str">
        <x:v>Low</x:v>
      </x:c>
      <x:c r="L72" s="20" t="str">
        <x:v>Нет</x:v>
      </x:c>
      <x:c r="M72" s="20" t="str">
        <x:v>Manual review: confirm first NAV/earnings disclosure and periodic filing</x:v>
      </x:c>
      <x:c r="N72" s="20" t="str">
        <x:v>https://www.sec.gov/Archives/edgar/full-index/2026/QTR2/master.idx</x:v>
      </x:c>
    </x:row>
    <x:row r="73">
      <x:c r="A73" s="20" t="str">
        <x:v>2025Q2</x:v>
      </x:c>
      <x:c r="B73" s="40" t="n">
        <x:v>45838</x:v>
      </x:c>
      <x:c r="C73" s="20" t="str">
        <x:v>ADS</x:v>
      </x:c>
      <x:c r="D73" s="20" t="str">
        <x:v>Non-listed</x:v>
      </x:c>
      <x:c r="E73" s="20" t="str">
        <x:v>Apollo</x:v>
      </x:c>
      <x:c r="F73" s="40" t="n">
        <x:v>45877</x:v>
      </x:c>
      <x:c r="G73" s="20"/>
      <x:c r="H73" s="20" t="str">
        <x:v>10-Q</x:v>
      </x:c>
      <x:c r="I73" s="40" t="n">
        <x:v>45877</x:v>
      </x:c>
      <x:c r="J73" s="41" t="n">
        <x:v>0</x:v>
      </x:c>
      <x:c r="K73" s="20" t="str">
        <x:v>High</x:v>
      </x:c>
      <x:c r="L73" s="20" t="str">
        <x:v>Частично</x:v>
      </x:c>
      <x:c r="M73" s="20" t="str">
        <x:v>Periodic filing used directly</x:v>
      </x:c>
      <x:c r="N73" s="20" t="str">
        <x:v>https://www.sec.gov/Archives/edgar/full-index/2025/QTR3/master.idx</x:v>
      </x:c>
    </x:row>
    <x:row r="74">
      <x:c r="A74" s="20" t="str">
        <x:v>2025Q3</x:v>
      </x:c>
      <x:c r="B74" s="40" t="n">
        <x:v>45930</x:v>
      </x:c>
      <x:c r="C74" s="20" t="str">
        <x:v>ADS</x:v>
      </x:c>
      <x:c r="D74" s="20" t="str">
        <x:v>Non-listed</x:v>
      </x:c>
      <x:c r="E74" s="20" t="str">
        <x:v>Apollo</x:v>
      </x:c>
      <x:c r="F74" s="40" t="n">
        <x:v>45973</x:v>
      </x:c>
      <x:c r="G74" s="20"/>
      <x:c r="H74" s="20" t="str">
        <x:v>10-Q</x:v>
      </x:c>
      <x:c r="I74" s="40" t="n">
        <x:v>45973</x:v>
      </x:c>
      <x:c r="J74" s="41" t="n">
        <x:v>0</x:v>
      </x:c>
      <x:c r="K74" s="20" t="str">
        <x:v>High</x:v>
      </x:c>
      <x:c r="L74" s="20" t="str">
        <x:v>Частично</x:v>
      </x:c>
      <x:c r="M74" s="20" t="str">
        <x:v>Periodic filing used directly</x:v>
      </x:c>
      <x:c r="N74" s="20" t="str">
        <x:v>https://www.sec.gov/Archives/edgar/full-index/2025/QTR4/master.idx</x:v>
      </x:c>
    </x:row>
    <x:row r="75">
      <x:c r="A75" s="20" t="str">
        <x:v>2025Q4</x:v>
      </x:c>
      <x:c r="B75" s="40" t="n">
        <x:v>46022</x:v>
      </x:c>
      <x:c r="C75" s="20" t="str">
        <x:v>ADS</x:v>
      </x:c>
      <x:c r="D75" s="20" t="str">
        <x:v>Non-listed</x:v>
      </x:c>
      <x:c r="E75" s="20" t="str">
        <x:v>Apollo</x:v>
      </x:c>
      <x:c r="F75" s="40" t="n">
        <x:v>46092</x:v>
      </x:c>
      <x:c r="G75" s="20"/>
      <x:c r="H75" s="20" t="str">
        <x:v>8-K</x:v>
      </x:c>
      <x:c r="I75" s="40" t="n">
        <x:v>46092</x:v>
      </x:c>
      <x:c r="J75" s="41" t="n">
        <x:v>0</x:v>
      </x:c>
      <x:c r="K75" s="20" t="str">
        <x:v>Low</x:v>
      </x:c>
      <x:c r="L75" s="20" t="str">
        <x:v>Нет</x:v>
      </x:c>
      <x:c r="M75" s="20" t="str">
        <x:v>Manual review: confirm first NAV/earnings disclosure</x:v>
      </x:c>
      <x:c r="N75" s="20" t="str">
        <x:v>https://www.sec.gov/Archives/edgar/full-index/2026/QTR1/master.idx</x:v>
      </x:c>
    </x:row>
    <x:row r="76">
      <x:c r="A76" s="20" t="str">
        <x:v>2026Q1</x:v>
      </x:c>
      <x:c r="B76" s="40" t="n">
        <x:v>46112</x:v>
      </x:c>
      <x:c r="C76" s="20" t="str">
        <x:v>ADS</x:v>
      </x:c>
      <x:c r="D76" s="20" t="str">
        <x:v>Non-listed</x:v>
      </x:c>
      <x:c r="E76" s="20" t="str">
        <x:v>Apollo</x:v>
      </x:c>
      <x:c r="F76" s="40" t="n">
        <x:v>46153</x:v>
      </x:c>
      <x:c r="G76" s="20"/>
      <x:c r="H76" s="20" t="str">
        <x:v>10-Q</x:v>
      </x:c>
      <x:c r="I76" s="40" t="n">
        <x:v>46153</x:v>
      </x:c>
      <x:c r="J76" s="41" t="n">
        <x:v>0</x:v>
      </x:c>
      <x:c r="K76" s="20" t="str">
        <x:v>High</x:v>
      </x:c>
      <x:c r="L76" s="20" t="str">
        <x:v>Частично</x:v>
      </x:c>
      <x:c r="M76" s="20" t="str">
        <x:v>Periodic filing used directly</x:v>
      </x:c>
      <x:c r="N76" s="20" t="str">
        <x:v>https://www.sec.gov/Archives/edgar/full-index/2026/QTR2/master.idx</x:v>
      </x:c>
    </x:row>
    <x:row r="77">
      <x:c r="A77" s="20" t="str">
        <x:v>2025Q2</x:v>
      </x:c>
      <x:c r="B77" s="40" t="n">
        <x:v>45838</x:v>
      </x:c>
      <x:c r="C77" s="20" t="str">
        <x:v>ASIF</x:v>
      </x:c>
      <x:c r="D77" s="20" t="str">
        <x:v>Non-listed</x:v>
      </x:c>
      <x:c r="E77" s="20" t="str">
        <x:v>Ares</x:v>
      </x:c>
      <x:c r="F77" s="40" t="n">
        <x:v>45875</x:v>
      </x:c>
      <x:c r="G77" s="20"/>
      <x:c r="H77" s="20" t="str">
        <x:v>8-K</x:v>
      </x:c>
      <x:c r="I77" s="40" t="n">
        <x:v>45877</x:v>
      </x:c>
      <x:c r="J77" s="41" t="n">
        <x:v>2</x:v>
      </x:c>
      <x:c r="K77" s="20" t="str">
        <x:v>Medium</x:v>
      </x:c>
      <x:c r="L77" s="20" t="str">
        <x:v>Нет</x:v>
      </x:c>
      <x:c r="M77" s="20" t="str">
        <x:v>8-K preceded periodic filing</x:v>
      </x:c>
      <x:c r="N77" s="20" t="str">
        <x:v>https://www.sec.gov/Archives/edgar/full-index/2025/QTR3/master.idx</x:v>
      </x:c>
    </x:row>
    <x:row r="78">
      <x:c r="A78" s="20" t="str">
        <x:v>2025Q3</x:v>
      </x:c>
      <x:c r="B78" s="40" t="n">
        <x:v>45930</x:v>
      </x:c>
      <x:c r="C78" s="20" t="str">
        <x:v>ASIF</x:v>
      </x:c>
      <x:c r="D78" s="20" t="str">
        <x:v>Non-listed</x:v>
      </x:c>
      <x:c r="E78" s="20" t="str">
        <x:v>Ares</x:v>
      </x:c>
      <x:c r="F78" s="40" t="n">
        <x:v>45975</x:v>
      </x:c>
      <x:c r="G78" s="20"/>
      <x:c r="H78" s="20" t="str">
        <x:v>10-Q</x:v>
      </x:c>
      <x:c r="I78" s="40" t="n">
        <x:v>45975</x:v>
      </x:c>
      <x:c r="J78" s="41" t="n">
        <x:v>0</x:v>
      </x:c>
      <x:c r="K78" s="20" t="str">
        <x:v>High</x:v>
      </x:c>
      <x:c r="L78" s="20" t="str">
        <x:v>Частично</x:v>
      </x:c>
      <x:c r="M78" s="20" t="str">
        <x:v>Periodic filing used directly</x:v>
      </x:c>
      <x:c r="N78" s="20" t="str">
        <x:v>https://www.sec.gov/Archives/edgar/full-index/2025/QTR4/master.idx</x:v>
      </x:c>
    </x:row>
    <x:row r="79">
      <x:c r="A79" s="20" t="str">
        <x:v>2025Q4</x:v>
      </x:c>
      <x:c r="B79" s="40" t="n">
        <x:v>46022</x:v>
      </x:c>
      <x:c r="C79" s="20" t="str">
        <x:v>ASIF</x:v>
      </x:c>
      <x:c r="D79" s="20" t="str">
        <x:v>Non-listed</x:v>
      </x:c>
      <x:c r="E79" s="20" t="str">
        <x:v>Ares</x:v>
      </x:c>
      <x:c r="F79" s="40" t="n">
        <x:v>46090</x:v>
      </x:c>
      <x:c r="G79" s="20"/>
      <x:c r="H79" s="20" t="str">
        <x:v>10-K</x:v>
      </x:c>
      <x:c r="I79" s="40" t="n">
        <x:v>46090</x:v>
      </x:c>
      <x:c r="J79" s="41" t="n">
        <x:v>0</x:v>
      </x:c>
      <x:c r="K79" s="20" t="str">
        <x:v>High</x:v>
      </x:c>
      <x:c r="L79" s="20" t="str">
        <x:v>Частично</x:v>
      </x:c>
      <x:c r="M79" s="20" t="str">
        <x:v>Periodic filing used directly</x:v>
      </x:c>
      <x:c r="N79" s="20" t="str">
        <x:v>https://www.sec.gov/Archives/edgar/full-index/2026/QTR1/master.idx</x:v>
      </x:c>
    </x:row>
    <x:row r="80">
      <x:c r="A80" s="20" t="str">
        <x:v>2026Q1</x:v>
      </x:c>
      <x:c r="B80" s="40" t="n">
        <x:v>46112</x:v>
      </x:c>
      <x:c r="C80" s="20" t="str">
        <x:v>ASIF</x:v>
      </x:c>
      <x:c r="D80" s="20" t="str">
        <x:v>Non-listed</x:v>
      </x:c>
      <x:c r="E80" s="20" t="str">
        <x:v>Ares</x:v>
      </x:c>
      <x:c r="F80" s="40" t="n">
        <x:v>46154</x:v>
      </x:c>
      <x:c r="G80" s="20"/>
      <x:c r="H80" s="20" t="str">
        <x:v>10-Q</x:v>
      </x:c>
      <x:c r="I80" s="40" t="n">
        <x:v>46154</x:v>
      </x:c>
      <x:c r="J80" s="41" t="n">
        <x:v>0</x:v>
      </x:c>
      <x:c r="K80" s="20" t="str">
        <x:v>High</x:v>
      </x:c>
      <x:c r="L80" s="20" t="str">
        <x:v>Частично</x:v>
      </x:c>
      <x:c r="M80" s="20" t="str">
        <x:v>Periodic filing used directly</x:v>
      </x:c>
      <x:c r="N80" s="20" t="str">
        <x:v>https://www.sec.gov/Archives/edgar/full-index/2026/QTR2/master.idx</x:v>
      </x:c>
    </x:row>
    <x:row r="81">
      <x:c r="A81" s="20" t="str">
        <x:v>2025Q2</x:v>
      </x:c>
      <x:c r="B81" s="40" t="n">
        <x:v>45838</x:v>
      </x:c>
      <x:c r="C81" s="20" t="str">
        <x:v>GCP</x:v>
      </x:c>
      <x:c r="D81" s="20" t="str">
        <x:v>Non-listed</x:v>
      </x:c>
      <x:c r="E81" s="20" t="str">
        <x:v>Golub Capital</x:v>
      </x:c>
      <x:c r="F81" s="40" t="n">
        <x:v>45881</x:v>
      </x:c>
      <x:c r="G81" s="20"/>
      <x:c r="H81" s="20" t="str">
        <x:v>10-Q</x:v>
      </x:c>
      <x:c r="I81" s="40" t="n">
        <x:v>45881</x:v>
      </x:c>
      <x:c r="J81" s="41" t="n">
        <x:v>0</x:v>
      </x:c>
      <x:c r="K81" s="20" t="str">
        <x:v>High</x:v>
      </x:c>
      <x:c r="L81" s="20" t="str">
        <x:v>Частично</x:v>
      </x:c>
      <x:c r="M81" s="20" t="str">
        <x:v>Periodic filing used directly</x:v>
      </x:c>
      <x:c r="N81" s="20" t="str">
        <x:v>https://www.sec.gov/Archives/edgar/full-index/2025/QTR3/master.idx</x:v>
      </x:c>
    </x:row>
    <x:row r="82">
      <x:c r="A82" s="20" t="str">
        <x:v>2025Q3</x:v>
      </x:c>
      <x:c r="B82" s="40" t="n">
        <x:v>45930</x:v>
      </x:c>
      <x:c r="C82" s="20" t="str">
        <x:v>GCP</x:v>
      </x:c>
      <x:c r="D82" s="20" t="str">
        <x:v>Non-listed</x:v>
      </x:c>
      <x:c r="E82" s="20" t="str">
        <x:v>Golub Capital</x:v>
      </x:c>
      <x:c r="F82" s="40" t="n">
        <x:v>45986</x:v>
      </x:c>
      <x:c r="G82" s="20"/>
      <x:c r="H82" s="20" t="str">
        <x:v>8-K</x:v>
      </x:c>
      <x:c r="I82" s="40" t="n">
        <x:v>45986</x:v>
      </x:c>
      <x:c r="J82" s="41" t="n">
        <x:v>0</x:v>
      </x:c>
      <x:c r="K82" s="20" t="str">
        <x:v>Low</x:v>
      </x:c>
      <x:c r="L82" s="20" t="str">
        <x:v>Нет</x:v>
      </x:c>
      <x:c r="M82" s="20" t="str">
        <x:v>Manual review: verify quarter attribution and first NAV disclosure</x:v>
      </x:c>
      <x:c r="N82" s="20" t="str">
        <x:v>https://www.sec.gov/Archives/edgar/full-index/2025/QTR4/master.idx</x:v>
      </x:c>
    </x:row>
    <x:row r="83">
      <x:c r="A83" s="20" t="str">
        <x:v>2025Q4</x:v>
      </x:c>
      <x:c r="B83" s="40" t="n">
        <x:v>46022</x:v>
      </x:c>
      <x:c r="C83" s="20" t="str">
        <x:v>GCP</x:v>
      </x:c>
      <x:c r="D83" s="20" t="str">
        <x:v>Non-listed</x:v>
      </x:c>
      <x:c r="E83" s="20" t="str">
        <x:v>Golub Capital</x:v>
      </x:c>
      <x:c r="F83" s="40" t="n">
        <x:v>46065</x:v>
      </x:c>
      <x:c r="G83" s="20"/>
      <x:c r="H83" s="20" t="str">
        <x:v>10-Q</x:v>
      </x:c>
      <x:c r="I83" s="40" t="n">
        <x:v>46065</x:v>
      </x:c>
      <x:c r="J83" s="41" t="n">
        <x:v>0</x:v>
      </x:c>
      <x:c r="K83" s="20" t="str">
        <x:v>Medium</x:v>
      </x:c>
      <x:c r="L83" s="20" t="str">
        <x:v>Нет</x:v>
      </x:c>
      <x:c r="M83" s="20" t="str">
        <x:v>Fiscal calendar differs; manual period check required</x:v>
      </x:c>
      <x:c r="N83" s="20" t="str">
        <x:v>https://www.sec.gov/Archives/edgar/full-index/2026/QTR1/master.idx</x:v>
      </x:c>
    </x:row>
    <x:row r="84">
      <x:c r="A84" s="20" t="str">
        <x:v>2026Q1</x:v>
      </x:c>
      <x:c r="B84" s="40" t="n">
        <x:v>46112</x:v>
      </x:c>
      <x:c r="C84" s="20" t="str">
        <x:v>GCP</x:v>
      </x:c>
      <x:c r="D84" s="20" t="str">
        <x:v>Non-listed</x:v>
      </x:c>
      <x:c r="E84" s="20" t="str">
        <x:v>Golub Capital</x:v>
      </x:c>
      <x:c r="F84" s="40" t="n">
        <x:v>46154</x:v>
      </x:c>
      <x:c r="G84" s="20"/>
      <x:c r="H84" s="20" t="str">
        <x:v>10-Q</x:v>
      </x:c>
      <x:c r="I84" s="40" t="n">
        <x:v>46154</x:v>
      </x:c>
      <x:c r="J84" s="41" t="n">
        <x:v>0</x:v>
      </x:c>
      <x:c r="K84" s="20" t="str">
        <x:v>High</x:v>
      </x:c>
      <x:c r="L84" s="20" t="str">
        <x:v>Частично</x:v>
      </x:c>
      <x:c r="M84" s="20" t="str">
        <x:v>Periodic filing used directly</x:v>
      </x:c>
      <x:c r="N84" s="20" t="str">
        <x:v>https://www.sec.gov/Archives/edgar/full-index/2026/QTR2/master.idx</x:v>
      </x:c>
    </x:row>
  </x:sheetData>
  <x:mergeCells>
    <x:mergeCell ref="A1:N1"/>
    <x:mergeCell ref="A2:N2"/>
  </x:mergeCells>
  <x:conditionalFormatting sqref="K5:K84">
    <x:cfRule type="expression" dxfId="2" priority="1">
      <x:formula>K5="Low"</x:formula>
    </x:cfRule>
    <x:cfRule type="expression" dxfId="3" priority="2">
      <x:formula>K5="High"</x:formula>
    </x:cfRule>
  </x:conditionalFormatting>
  <x:conditionalFormatting sqref="D5:D84">
    <x:cfRule type="expression" dxfId="4" priority="3">
      <x:formula>D5="Non-listed"</x:formula>
    </x:cfRule>
  </x:conditionalFormatting>
  <x:pageMargins left="0.7" right="0.7" top="0.75" bottom="0.75" header="0.3" footer="0.3"/>
  <x:tableParts count="1">
    <x:tablePart xmlns:r="http://schemas.openxmlformats.org/officeDocument/2006/relationships" r:id="Rcdbf03db78ff49ea"/>
  </x:tableParts>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22" hidden="0" customWidth="1"/>
    <x:col min="4" max="4" width="18" hidden="0" customWidth="1"/>
    <x:col min="5" max="5" width="10" hidden="0" customWidth="1"/>
    <x:col min="6" max="6" width="10" hidden="0" customWidth="1"/>
    <x:col min="7" max="7" width="20" hidden="0" customWidth="1"/>
    <x:col min="8" max="8" width="14" hidden="0" customWidth="1"/>
    <x:col min="9" max="9" width="14" hidden="0" customWidth="1"/>
    <x:col min="10" max="10" width="18" hidden="0" customWidth="1"/>
    <x:col min="11" max="11" width="8" hidden="0" customWidth="1"/>
    <x:col min="12" max="12" width="8" hidden="0" customWidth="1"/>
    <x:col min="13" max="13" width="8" hidden="0" customWidth="1"/>
    <x:col min="14" max="14" width="8" hidden="0" customWidth="1"/>
    <x:col min="15" max="15" width="18" hidden="0" customWidth="1"/>
    <x:col min="16" max="16" width="18" hidden="0" customWidth="1"/>
    <x:col min="18" max="18" width="2" hidden="0" customWidth="1"/>
    <x:col min="19" max="19" width="2" hidden="0" customWidth="1"/>
    <x:col min="20" max="20" width="2" hidden="0" customWidth="1"/>
    <x:col min="21" max="21" width="2" hidden="0" customWidth="1"/>
    <x:col min="22" max="22" width="2" hidden="0" customWidth="1"/>
  </x:cols>
  <x:sheetData>
    <x:row r="1">
      <x:c r="A1" s="15" t="str">
        <x:v>ShadowNAV Day 1 — структурные окна раскрытия (до проверки facility overlap)</x:v>
      </x:c>
      <x:c r="B1" s="15"/>
      <x:c r="C1" s="15"/>
      <x:c r="D1" s="15"/>
      <x:c r="E1" s="15"/>
      <x:c r="F1" s="15"/>
      <x:c r="G1" s="15"/>
      <x:c r="H1" s="15"/>
      <x:c r="I1" s="15"/>
      <x:c r="J1" s="15"/>
      <x:c r="K1" s="15"/>
      <x:c r="L1" s="15"/>
      <x:c r="M1" s="15"/>
      <x:c r="N1" s="15"/>
      <x:c r="O1" s="15"/>
      <x:c r="P1" s="15"/>
    </x:row>
    <x:row r="2">
      <x:c r="A2" s="24" t="str">
        <x:v>Calendar opportunity only. Some raw dates in this workbook are heuristic and were later found to include scheduling 8-Ks. Canonical Day 1 status: cleaned workbook estimate = 295 windows ≥3d across 4 quarters; Codex 407 count is contaminated until reporting-order dates are corrected.</x:v>
      </x:c>
      <x:c r="B2" s="24"/>
      <x:c r="C2" s="24"/>
      <x:c r="D2" s="24"/>
      <x:c r="E2" s="24"/>
      <x:c r="F2" s="24"/>
      <x:c r="G2" s="24"/>
      <x:c r="H2" s="24"/>
      <x:c r="I2" s="24"/>
      <x:c r="J2" s="24"/>
      <x:c r="K2" s="24"/>
      <x:c r="L2" s="24"/>
      <x:c r="M2" s="24"/>
      <x:c r="N2" s="24"/>
      <x:c r="O2" s="24"/>
      <x:c r="P2" s="24"/>
    </x:row>
    <x:row r="4">
      <x:c r="A4" s="6" t="str">
        <x:v>Period</x:v>
      </x:c>
      <x:c r="B4" s="6" t="str">
        <x:v>BDC count</x:v>
      </x:c>
      <x:c r="C4" s="6" t="str">
        <x:v>Earliest</x:v>
      </x:c>
      <x:c r="D4" s="6" t="str">
        <x:v>Latest</x:v>
      </x:c>
      <x:c r="E4" s="6" t="str">
        <x:v>Universe span (days)</x:v>
      </x:c>
      <x:c r="F4" s="6" t="str">
        <x:v>Listed earliest</x:v>
      </x:c>
      <x:c r="G4" s="6" t="str">
        <x:v>Listed latest</x:v>
      </x:c>
      <x:c r="H4" s="6" t="str">
        <x:v>Non-listed earliest</x:v>
      </x:c>
      <x:c r="I4" s="6" t="str">
        <x:v>Non-listed latest</x:v>
      </x:c>
      <x:c r="J4" s="6" t="str">
        <x:v>Positive source→listed pairs</x:v>
      </x:c>
      <x:c r="K4" s="6" t="str">
        <x:v>≥3d</x:v>
      </x:c>
      <x:c r="L4" s="6" t="str">
        <x:v>≥5d</x:v>
      </x:c>
      <x:c r="M4" s="6" t="str">
        <x:v>≥7d</x:v>
      </x:c>
      <x:c r="N4" s="6" t="str">
        <x:v>≥10d</x:v>
      </x:c>
      <x:c r="O4" s="6" t="str">
        <x:v>Non-listed→listed positive</x:v>
      </x:c>
      <x:c r="P4" s="6" t="str">
        <x:v>Non-listed→listed ≥3d</x:v>
      </x:c>
      <x:c r="R4" t="str">
        <x:v>Period</x:v>
      </x:c>
      <x:c r="S4" t="str">
        <x:v>≥3d</x:v>
      </x:c>
      <x:c r="T4" t="str">
        <x:v>≥5d</x:v>
      </x:c>
      <x:c r="U4" t="str">
        <x:v>≥7d</x:v>
      </x:c>
      <x:c r="V4" t="str">
        <x:v>≥10d</x:v>
      </x:c>
    </x:row>
    <x:row r="5">
      <x:c r="A5" t="str">
        <x:v>2025Q2</x:v>
      </x:c>
      <x:c r="B5" s="38" t="n">
        <x:v>20</x:v>
      </x:c>
      <x:c r="C5" s="36" t="n">
        <x:v>45867</x:v>
      </x:c>
      <x:c r="D5" s="36" t="n">
        <x:v>45881</x:v>
      </x:c>
      <x:c r="E5" s="38" t="n">
        <x:v>14</x:v>
      </x:c>
      <x:c r="F5" s="36" t="n">
        <x:v>45867</x:v>
      </x:c>
      <x:c r="G5" s="36" t="n">
        <x:v>45880</x:v>
      </x:c>
      <x:c r="H5" s="36" t="n">
        <x:v>45875</x:v>
      </x:c>
      <x:c r="I5" s="36" t="n">
        <x:v>45881</x:v>
      </x:c>
      <x:c r="J5" s="38" t="n">
        <x:v>96</x:v>
      </x:c>
      <x:c r="K5" s="38" t="n">
        <x:v>52</x:v>
      </x:c>
      <x:c r="L5" s="38" t="n">
        <x:v>45</x:v>
      </x:c>
      <x:c r="M5" s="38" t="n">
        <x:v>20</x:v>
      </x:c>
      <x:c r="N5" s="38" t="n">
        <x:v>3</x:v>
      </x:c>
      <x:c r="O5" s="38" t="n">
        <x:v>4</x:v>
      </x:c>
      <x:c r="P5" s="38" t="n">
        <x:v>3</x:v>
      </x:c>
      <x:c r="R5" t="str">
        <x:v>2025Q2</x:v>
      </x:c>
      <x:c r="S5" t="n">
        <x:v>52</x:v>
      </x:c>
      <x:c r="T5" t="n">
        <x:v>45</x:v>
      </x:c>
      <x:c r="U5" t="n">
        <x:v>20</x:v>
      </x:c>
      <x:c r="V5" t="n">
        <x:v>3</x:v>
      </x:c>
    </x:row>
    <x:row r="6">
      <x:c r="A6" t="str">
        <x:v>2025Q3</x:v>
      </x:c>
      <x:c r="B6" s="38" t="n">
        <x:v>20</x:v>
      </x:c>
      <x:c r="C6" s="36" t="n">
        <x:v>45958</x:v>
      </x:c>
      <x:c r="D6" s="36" t="n">
        <x:v>45986</x:v>
      </x:c>
      <x:c r="E6" s="38" t="n">
        <x:v>28</x:v>
      </x:c>
      <x:c r="F6" s="36" t="n">
        <x:v>45958</x:v>
      </x:c>
      <x:c r="G6" s="36" t="n">
        <x:v>45979</x:v>
      </x:c>
      <x:c r="H6" s="36" t="n">
        <x:v>45967</x:v>
      </x:c>
      <x:c r="I6" s="36" t="n">
        <x:v>45986</x:v>
      </x:c>
      <x:c r="J6" s="38" t="n">
        <x:v>107</x:v>
      </x:c>
      <x:c r="K6" s="38" t="n">
        <x:v>80</x:v>
      </x:c>
      <x:c r="L6" s="38" t="n">
        <x:v>66</x:v>
      </x:c>
      <x:c r="M6" s="38" t="n">
        <x:v>45</x:v>
      </x:c>
      <x:c r="N6" s="38" t="n">
        <x:v>28</x:v>
      </x:c>
      <x:c r="O6" s="38" t="n">
        <x:v>10</x:v>
      </x:c>
      <x:c r="P6" s="38" t="n">
        <x:v>10</x:v>
      </x:c>
      <x:c r="R6" t="str">
        <x:v>2025Q3</x:v>
      </x:c>
      <x:c r="S6" t="n">
        <x:v>80</x:v>
      </x:c>
      <x:c r="T6" t="n">
        <x:v>66</x:v>
      </x:c>
      <x:c r="U6" t="n">
        <x:v>45</x:v>
      </x:c>
      <x:c r="V6" t="n">
        <x:v>28</x:v>
      </x:c>
    </x:row>
    <x:row r="7">
      <x:c r="A7" t="str">
        <x:v>2025Q4</x:v>
      </x:c>
      <x:c r="B7" s="38" t="n">
        <x:v>20</x:v>
      </x:c>
      <x:c r="C7" s="36" t="n">
        <x:v>46052</x:v>
      </x:c>
      <x:c r="D7" s="36" t="n">
        <x:v>46094</x:v>
      </x:c>
      <x:c r="E7" s="38" t="n">
        <x:v>42</x:v>
      </x:c>
      <x:c r="F7" s="36" t="n">
        <x:v>46052</x:v>
      </x:c>
      <x:c r="G7" s="36" t="n">
        <x:v>46093</x:v>
      </x:c>
      <x:c r="H7" s="36" t="n">
        <x:v>46065</x:v>
      </x:c>
      <x:c r="I7" s="36" t="n">
        <x:v>46094</x:v>
      </x:c>
      <x:c r="J7" s="38" t="n">
        <x:v>112</x:v>
      </x:c>
      <x:c r="K7" s="38" t="n">
        <x:v>95</x:v>
      </x:c>
      <x:c r="L7" s="38" t="n">
        <x:v>90</x:v>
      </x:c>
      <x:c r="M7" s="38" t="n">
        <x:v>79</x:v>
      </x:c>
      <x:c r="N7" s="38" t="n">
        <x:v>70</x:v>
      </x:c>
      <x:c r="O7" s="38" t="n">
        <x:v>12</x:v>
      </x:c>
      <x:c r="P7" s="38" t="n">
        <x:v>11</x:v>
      </x:c>
      <x:c r="R7" t="str">
        <x:v>2025Q4</x:v>
      </x:c>
      <x:c r="S7" t="n">
        <x:v>95</x:v>
      </x:c>
      <x:c r="T7" t="n">
        <x:v>90</x:v>
      </x:c>
      <x:c r="U7" t="n">
        <x:v>79</x:v>
      </x:c>
      <x:c r="V7" t="n">
        <x:v>70</x:v>
      </x:c>
    </x:row>
    <x:row r="8">
      <x:c r="A8" t="str">
        <x:v>2026Q1</x:v>
      </x:c>
      <x:c r="B8" s="38" t="n">
        <x:v>20</x:v>
      </x:c>
      <x:c r="C8" s="36" t="n">
        <x:v>46140</x:v>
      </x:c>
      <x:c r="D8" s="36" t="n">
        <x:v>46161</x:v>
      </x:c>
      <x:c r="E8" s="38" t="n">
        <x:v>21</x:v>
      </x:c>
      <x:c r="F8" s="36" t="n">
        <x:v>46140</x:v>
      </x:c>
      <x:c r="G8" s="36" t="n">
        <x:v>46161</x:v>
      </x:c>
      <x:c r="H8" s="36" t="n">
        <x:v>46153</x:v>
      </x:c>
      <x:c r="I8" s="36" t="n">
        <x:v>46156</x:v>
      </x:c>
      <x:c r="J8" s="38" t="n">
        <x:v>99</x:v>
      </x:c>
      <x:c r="K8" s="38" t="n">
        <x:v>68</x:v>
      </x:c>
      <x:c r="L8" s="38" t="n">
        <x:v>56</x:v>
      </x:c>
      <x:c r="M8" s="38" t="n">
        <x:v>37</x:v>
      </x:c>
      <x:c r="N8" s="38" t="n">
        <x:v>14</x:v>
      </x:c>
      <x:c r="O8" s="38" t="n">
        <x:v>5</x:v>
      </x:c>
      <x:c r="P8" s="38" t="n">
        <x:v>5</x:v>
      </x:c>
      <x:c r="R8" t="str">
        <x:v>2026Q1</x:v>
      </x:c>
      <x:c r="S8" t="n">
        <x:v>68</x:v>
      </x:c>
      <x:c r="T8" t="n">
        <x:v>56</x:v>
      </x:c>
      <x:c r="U8" t="n">
        <x:v>37</x:v>
      </x:c>
      <x:c r="V8" t="n">
        <x:v>14</x:v>
      </x:c>
    </x:row>
    <x:row r="11">
      <x:c r="A11" s="47" t="str">
        <x:v>Средняя позиция в календаре раскрытия (меньше = раньше)</x:v>
      </x:c>
      <x:c r="B11" s="47"/>
      <x:c r="C11" s="47"/>
      <x:c r="D11" s="47"/>
      <x:c r="E11" s="47"/>
      <x:c r="F11" s="47"/>
      <x:c r="G11" s="47"/>
    </x:row>
    <x:row r="12">
      <x:c r="A12" s="6" t="str">
        <x:v>Ticker</x:v>
      </x:c>
      <x:c r="B12" s="6" t="str">
        <x:v>Listing</x:v>
      </x:c>
      <x:c r="C12" s="6" t="str">
        <x:v>Manager</x:v>
      </x:c>
      <x:c r="D12" s="6" t="str">
        <x:v>Average dense rank</x:v>
      </x:c>
      <x:c r="E12" s="6" t="str">
        <x:v>Best rank</x:v>
      </x:c>
      <x:c r="F12" s="6" t="str">
        <x:v>Worst rank</x:v>
      </x:c>
      <x:c r="G12" s="6" t="str">
        <x:v>Ranks by quarter</x:v>
      </x:c>
    </x:row>
    <x:row r="13">
      <x:c r="A13" t="str">
        <x:v>ARCC</x:v>
      </x:c>
      <x:c r="B13" t="str">
        <x:v>Listed</x:v>
      </x:c>
      <x:c r="C13" t="str">
        <x:v>Ares</x:v>
      </x:c>
      <x:c r="D13" s="52" t="n">
        <x:v>1.25</x:v>
      </x:c>
      <x:c r="E13" s="52" t="n">
        <x:v>1</x:v>
      </x:c>
      <x:c r="F13" s="52" t="n">
        <x:v>2</x:v>
      </x:c>
      <x:c r="G13" t="str">
        <x:v>1,1,2,1</x:v>
      </x:c>
    </x:row>
    <x:row r="14">
      <x:c r="A14" t="str">
        <x:v>HTGC</x:v>
      </x:c>
      <x:c r="B14" t="str">
        <x:v>Listed</x:v>
      </x:c>
      <x:c r="C14" t="str">
        <x:v>Hercules</x:v>
      </x:c>
      <x:c r="D14" s="52" t="n">
        <x:v>2.5</x:v>
      </x:c>
      <x:c r="E14" s="52" t="n">
        <x:v>2</x:v>
      </x:c>
      <x:c r="F14" s="52" t="n">
        <x:v>3</x:v>
      </x:c>
      <x:c r="G14" t="str">
        <x:v>3,2,3,2</x:v>
      </x:c>
    </x:row>
    <x:row r="15">
      <x:c r="A15" t="str">
        <x:v>TSLX</x:v>
      </x:c>
      <x:c r="B15" t="str">
        <x:v>Listed</x:v>
      </x:c>
      <x:c r="C15" t="str">
        <x:v>Sixth Street</x:v>
      </x:c>
      <x:c r="D15" s="52" t="n">
        <x:v>3.25</x:v>
      </x:c>
      <x:c r="E15" s="52" t="n">
        <x:v>2</x:v>
      </x:c>
      <x:c r="F15" s="52" t="n">
        <x:v>4</x:v>
      </x:c>
      <x:c r="G15" t="str">
        <x:v>2,4,4,3</x:v>
      </x:c>
    </x:row>
    <x:row r="16">
      <x:c r="A16" t="str">
        <x:v>NMFC</x:v>
      </x:c>
      <x:c r="B16" t="str">
        <x:v>Listed</x:v>
      </x:c>
      <x:c r="C16" t="str">
        <x:v>New Mountain</x:v>
      </x:c>
      <x:c r="D16" s="52" t="n">
        <x:v>4</x:v>
      </x:c>
      <x:c r="E16" s="52" t="n">
        <x:v>2</x:v>
      </x:c>
      <x:c r="F16" s="52" t="n">
        <x:v>7</x:v>
      </x:c>
      <x:c r="G16" t="str">
        <x:v>4,3,7,2</x:v>
      </x:c>
    </x:row>
    <x:row r="17">
      <x:c r="A17" t="str">
        <x:v>MAIN</x:v>
      </x:c>
      <x:c r="B17" t="str">
        <x:v>Listed</x:v>
      </x:c>
      <x:c r="C17" t="str">
        <x:v>Main Street</x:v>
      </x:c>
      <x:c r="D17" s="52" t="n">
        <x:v>4.75</x:v>
      </x:c>
      <x:c r="E17" s="52" t="n">
        <x:v>3</x:v>
      </x:c>
      <x:c r="F17" s="52" t="n">
        <x:v>7</x:v>
      </x:c>
      <x:c r="G17" t="str">
        <x:v>5,4,7,3</x:v>
      </x:c>
    </x:row>
    <x:row r="18">
      <x:c r="A18" t="str">
        <x:v>GBDC</x:v>
      </x:c>
      <x:c r="B18" t="str">
        <x:v>Listed</x:v>
      </x:c>
      <x:c r="C18" t="str">
        <x:v>Golub Capital</x:v>
      </x:c>
      <x:c r="D18" s="52" t="n">
        <x:v>4.75</x:v>
      </x:c>
      <x:c r="E18" s="52" t="n">
        <x:v>2</x:v>
      </x:c>
      <x:c r="F18" s="52" t="n">
        <x:v>11</x:v>
      </x:c>
      <x:c r="G18" t="str">
        <x:v>4,11,2,2</x:v>
      </x:c>
    </x:row>
    <x:row r="19">
      <x:c r="A19" t="str">
        <x:v>CSWC</x:v>
      </x:c>
      <x:c r="B19" t="str">
        <x:v>Listed</x:v>
      </x:c>
      <x:c r="C19" t="str">
        <x:v>Capital Southwest</x:v>
      </x:c>
      <x:c r="D19" s="52" t="n">
        <x:v>4.75</x:v>
      </x:c>
      <x:c r="E19" s="52" t="n">
        <x:v>1</x:v>
      </x:c>
      <x:c r="F19" s="52" t="n">
        <x:v>9</x:v>
      </x:c>
      <x:c r="G19" t="str">
        <x:v>6,3,1,9</x:v>
      </x:c>
    </x:row>
    <x:row r="20">
      <x:c r="A20" t="str">
        <x:v>OBDC</x:v>
      </x:c>
      <x:c r="B20" t="str">
        <x:v>Listed</x:v>
      </x:c>
      <x:c r="C20" t="str">
        <x:v>Blue Owl</x:v>
      </x:c>
      <x:c r="D20" s="52" t="n">
        <x:v>5</x:v>
      </x:c>
      <x:c r="E20" s="52" t="n">
        <x:v>4</x:v>
      </x:c>
      <x:c r="F20" s="52" t="n">
        <x:v>6</x:v>
      </x:c>
      <x:c r="G20" t="str">
        <x:v>6,5,5,4</x:v>
      </x:c>
    </x:row>
    <x:row r="21">
      <x:c r="A21" t="str">
        <x:v>CGBD</x:v>
      </x:c>
      <x:c r="B21" t="str">
        <x:v>Listed</x:v>
      </x:c>
      <x:c r="C21" t="str">
        <x:v>Carlyle</x:v>
      </x:c>
      <x:c r="D21" s="52" t="n">
        <x:v>5.25</x:v>
      </x:c>
      <x:c r="E21" s="52" t="n">
        <x:v>4</x:v>
      </x:c>
      <x:c r="F21" s="52" t="n">
        <x:v>6</x:v>
      </x:c>
      <x:c r="G21" t="str">
        <x:v>5,4,6,6</x:v>
      </x:c>
    </x:row>
    <x:row r="22">
      <x:c r="A22" t="str">
        <x:v>OCSL</x:v>
      </x:c>
      <x:c r="B22" t="str">
        <x:v>Listed</x:v>
      </x:c>
      <x:c r="C22" t="str">
        <x:v>Oaktree</x:v>
      </x:c>
      <x:c r="D22" s="52" t="n">
        <x:v>5.25</x:v>
      </x:c>
      <x:c r="E22" s="52" t="n">
        <x:v>2</x:v>
      </x:c>
      <x:c r="F22" s="52" t="n">
        <x:v>11</x:v>
      </x:c>
      <x:c r="G22" t="str">
        <x:v>5,11,2,3</x:v>
      </x:c>
    </x:row>
    <x:row r="23">
      <x:c r="A23" t="str">
        <x:v>FSK</x:v>
      </x:c>
      <x:c r="B23" t="str">
        <x:v>Listed</x:v>
      </x:c>
      <x:c r="C23" t="str">
        <x:v>FS Investments / KKR</x:v>
      </x:c>
      <x:c r="D23" s="52" t="n">
        <x:v>6.25</x:v>
      </x:c>
      <x:c r="E23" s="52" t="n">
        <x:v>5</x:v>
      </x:c>
      <x:c r="F23" s="52" t="n">
        <x:v>8</x:v>
      </x:c>
      <x:c r="G23" t="str">
        <x:v>6,5,8,6</x:v>
      </x:c>
    </x:row>
    <x:row r="24">
      <x:c r="A24" t="str">
        <x:v>BXSL</x:v>
      </x:c>
      <x:c r="B24" t="str">
        <x:v>Listed</x:v>
      </x:c>
      <x:c r="C24" t="str">
        <x:v>Blackstone</x:v>
      </x:c>
      <x:c r="D24" s="52" t="n">
        <x:v>6.5</x:v>
      </x:c>
      <x:c r="E24" s="52" t="n">
        <x:v>5</x:v>
      </x:c>
      <x:c r="F24" s="52" t="n">
        <x:v>8</x:v>
      </x:c>
      <x:c r="G24" t="str">
        <x:v>6,7,8,5</x:v>
      </x:c>
    </x:row>
    <x:row r="25">
      <x:c r="A25" t="str">
        <x:v>MFIC</x:v>
      </x:c>
      <x:c r="B25" t="str">
        <x:v>Listed</x:v>
      </x:c>
      <x:c r="C25" t="str">
        <x:v>MidCap / Apollo</x:v>
      </x:c>
      <x:c r="D25" s="52" t="n">
        <x:v>7</x:v>
      </x:c>
      <x:c r="E25" s="52" t="n">
        <x:v>4</x:v>
      </x:c>
      <x:c r="F25" s="52" t="n">
        <x:v>9</x:v>
      </x:c>
      <x:c r="G25" t="str">
        <x:v>9,6,9,4</x:v>
      </x:c>
    </x:row>
    <x:row r="26">
      <x:c r="A26" t="str">
        <x:v>BCSF</x:v>
      </x:c>
      <x:c r="B26" t="str">
        <x:v>Listed</x:v>
      </x:c>
      <x:c r="C26" t="str">
        <x:v>Bain Capital</x:v>
      </x:c>
      <x:c r="D26" s="52" t="n">
        <x:v>7</x:v>
      </x:c>
      <x:c r="E26" s="52" t="n">
        <x:v>5</x:v>
      </x:c>
      <x:c r="F26" s="52" t="n">
        <x:v>10</x:v>
      </x:c>
      <x:c r="G26" t="str">
        <x:v>5,7,10,6</x:v>
      </x:c>
    </x:row>
    <x:row r="27">
      <x:c r="A27" t="str">
        <x:v>OCIC</x:v>
      </x:c>
      <x:c r="B27" t="str">
        <x:v>Non-listed</x:v>
      </x:c>
      <x:c r="C27" t="str">
        <x:v>Blue Owl</x:v>
      </x:c>
      <x:c r="D27" s="52" t="n">
        <x:v>7.5</x:v>
      </x:c>
      <x:c r="E27" s="52" t="n">
        <x:v>6</x:v>
      </x:c>
      <x:c r="F27" s="52" t="n">
        <x:v>11</x:v>
      </x:c>
      <x:c r="G27" t="str">
        <x:v>7,6,11,6</x:v>
      </x:c>
    </x:row>
    <x:row r="28">
      <x:c r="A28" t="str">
        <x:v>CION</x:v>
      </x:c>
      <x:c r="B28" t="str">
        <x:v>Listed</x:v>
      </x:c>
      <x:c r="C28" t="str">
        <x:v>CION Investment Management</x:v>
      </x:c>
      <x:c r="D28" s="52" t="n">
        <x:v>8</x:v>
      </x:c>
      <x:c r="E28" s="52" t="n">
        <x:v>5</x:v>
      </x:c>
      <x:c r="F28" s="52" t="n">
        <x:v>14</x:v>
      </x:c>
      <x:c r="G28" t="str">
        <x:v>7,6,14,5</x:v>
      </x:c>
    </x:row>
    <x:row r="29">
      <x:c r="A29" t="str">
        <x:v>GCP</x:v>
      </x:c>
      <x:c r="B29" t="str">
        <x:v>Non-listed</x:v>
      </x:c>
      <x:c r="C29" t="str">
        <x:v>Golub Capital</x:v>
      </x:c>
      <x:c r="D29" s="52" t="n">
        <x:v>8.25</x:v>
      </x:c>
      <x:c r="E29" s="52" t="n">
        <x:v>4</x:v>
      </x:c>
      <x:c r="F29" s="52" t="n">
        <x:v>12</x:v>
      </x:c>
      <x:c r="G29" t="str">
        <x:v>10,12,4,7</x:v>
      </x:c>
    </x:row>
    <x:row r="30">
      <x:c r="A30" t="str">
        <x:v>ADS</x:v>
      </x:c>
      <x:c r="B30" t="str">
        <x:v>Non-listed</x:v>
      </x:c>
      <x:c r="C30" t="str">
        <x:v>Apollo</x:v>
      </x:c>
      <x:c r="D30" s="52" t="n">
        <x:v>8.75</x:v>
      </x:c>
      <x:c r="E30" s="52" t="n">
        <x:v>6</x:v>
      </x:c>
      <x:c r="F30" s="52" t="n">
        <x:v>13</x:v>
      </x:c>
      <x:c r="G30" t="str">
        <x:v>8,8,13,6</x:v>
      </x:c>
    </x:row>
    <x:row r="31">
      <x:c r="A31" t="str">
        <x:v>ASIF</x:v>
      </x:c>
      <x:c r="B31" t="str">
        <x:v>Non-listed</x:v>
      </x:c>
      <x:c r="C31" t="str">
        <x:v>Ares</x:v>
      </x:c>
      <x:c r="D31" s="52" t="n">
        <x:v>8.75</x:v>
      </x:c>
      <x:c r="E31" s="52" t="n">
        <x:v>6</x:v>
      </x:c>
      <x:c r="F31" s="52" t="n">
        <x:v>12</x:v>
      </x:c>
      <x:c r="G31" t="str">
        <x:v>6,10,12,7</x:v>
      </x:c>
    </x:row>
    <x:row r="32">
      <x:c r="A32" t="str">
        <x:v>BCRED</x:v>
      </x:c>
      <x:c r="B32" t="str">
        <x:v>Non-listed</x:v>
      </x:c>
      <x:c r="C32" t="str">
        <x:v>Blackstone</x:v>
      </x:c>
      <x:c r="D32" s="52" t="n">
        <x:v>10.5</x:v>
      </x:c>
      <x:c r="E32" s="52" t="n">
        <x:v>8</x:v>
      </x:c>
      <x:c r="F32" s="52" t="n">
        <x:v>15</x:v>
      </x:c>
      <x:c r="G32" t="str">
        <x:v>10,9,15,8</x:v>
      </x:c>
    </x:row>
  </x:sheetData>
  <x:mergeCells>
    <x:mergeCell ref="A1:P1"/>
    <x:mergeCell ref="A2:P2"/>
    <x:mergeCell ref="A11:G11"/>
  </x:mergeCells>
  <x:conditionalFormatting sqref="E5:E8">
    <x:cfRule type="dataBar" priority="1">
      <x:dataBar>
        <x:cfvo type="min"/>
        <x:cfvo type="max"/>
        <x:color rgb="FF5B9BD5"/>
      </x:dataBar>
      <x:extLst>
        <x:ext xmlns:x14="http://schemas.microsoft.com/office/spreadsheetml/2009/9/main" uri="{B025F937-C7B1-47D3-B67F-A62EFF666E3E}">
          <x14:id>{203135E6-3FFA-FA20-90C3-8E8B049843D7}</x14:id>
        </x:ext>
      </x:extLst>
    </x:cfRule>
  </x:conditionalFormatting>
  <x:conditionalFormatting sqref="K5:N8">
    <x:cfRule type="colorScale" priority="2">
      <x:colorScale>
        <x:cfvo type="min"/>
        <x:cfvo type="percentile" val="50"/>
        <x:cfvo type="max"/>
        <x:color rgb="FFFEE2E2"/>
        <x:color rgb="FFFEF3C7"/>
        <x:color rgb="FFDCFCE7"/>
      </x:colorScale>
    </x:cfRule>
  </x:conditionalFormatting>
  <x:pageMargins left="0.7" right="0.7" top="0.75" bottom="0.75" header="0.3" footer="0.3"/>
  <x:drawing xmlns:r="http://schemas.openxmlformats.org/officeDocument/2006/relationships" r:id="R5d5bfb8c33934321"/>
  <x:tableParts count="2">
    <x:tablePart xmlns:r="http://schemas.openxmlformats.org/officeDocument/2006/relationships" r:id="R0aeb77788af643aa"/>
    <x:tablePart xmlns:r="http://schemas.openxmlformats.org/officeDocument/2006/relationships" r:id="Rbbc00a093bbb4684"/>
  </x:tableParts>
  <x:extLst>
    <x:ext xmlns:x14="http://schemas.microsoft.com/office/spreadsheetml/2009/9/main" xmlns:xm="http://schemas.microsoft.com/office/excel/2006/main" uri="{78C0D931-6437-407d-A8EE-F0AAD7539E65}">
      <x14:conditionalFormattings>
        <x14:conditionalFormatting>
          <x14:cfRule type="dataBar" priority="1" id="{203135E6-3FFA-FA20-90C3-8E8B049843D7}">
            <x14:dataBar gradient="1">
              <x14:cfvo type="min"/>
              <x14:cfvo type="max"/>
              <x14:fillColor rgb="FF5B9BD5"/>
            </x14:dataBar>
          </x14:cfRule>
          <xm:sqref>E5:E8</xm:sqref>
        </x14:conditionalFormatting>
      </x14:conditionalFormattings>
    </x:ext>
  </x:extLst>
</x:worksheet>
</file>

<file path=xl/worksheets/sheet7.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3" hidden="0" customWidth="1"/>
    <x:col min="5" max="5" width="13" hidden="0" customWidth="1"/>
    <x:col min="6" max="6" width="12" hidden="0" customWidth="1"/>
    <x:col min="7" max="7" width="20" hidden="0" customWidth="1"/>
    <x:col min="8" max="8" width="20" hidden="0" customWidth="1"/>
    <x:col min="9" max="9" width="16" hidden="0" customWidth="1"/>
    <x:col min="10" max="10" width="16" hidden="0" customWidth="1"/>
    <x:col min="11" max="11" width="36" hidden="0" customWidth="1"/>
    <x:col min="12" max="12" width="36" hidden="0" customWidth="1"/>
  </x:cols>
  <x:sheetData>
    <x:row r="1">
      <x:c r="A1" s="15" t="str">
        <x:v>ShadowNAV — non-listed source → listed target structural windows ≥3 days</x:v>
      </x:c>
      <x:c r="B1" s="15"/>
      <x:c r="C1" s="15"/>
      <x:c r="D1" s="15"/>
      <x:c r="E1" s="15"/>
      <x:c r="F1" s="15"/>
      <x:c r="G1" s="15"/>
      <x:c r="H1" s="15"/>
      <x:c r="I1" s="15"/>
      <x:c r="J1" s="15"/>
      <x:c r="K1" s="15"/>
      <x:c r="L1" s="15"/>
    </x:row>
    <x:row r="2">
      <x:c r="A2" s="24" t="str">
        <x:v>Day 1 finding: такие окна существуют, но non-listed источники обычно НЕ самые ранние. Каждая строка должна пройти exact-facility matching; пока это только shortlist.</x:v>
      </x:c>
      <x:c r="B2" s="24"/>
      <x:c r="C2" s="24"/>
      <x:c r="D2" s="24"/>
      <x:c r="E2" s="24"/>
      <x:c r="F2" s="24"/>
      <x:c r="G2" s="24"/>
      <x:c r="H2" s="24"/>
      <x:c r="I2" s="24"/>
      <x:c r="J2" s="24"/>
      <x:c r="K2" s="24"/>
      <x:c r="L2" s="24"/>
    </x:row>
    <x:row r="4">
      <x:c r="A4" s="6" t="str">
        <x:v>Period</x:v>
      </x:c>
      <x:c r="B4" s="6" t="str">
        <x:v>Source</x:v>
      </x:c>
      <x:c r="C4" s="6" t="str">
        <x:v>Target</x:v>
      </x:c>
      <x:c r="D4" s="6" t="str">
        <x:v>Source date</x:v>
      </x:c>
      <x:c r="E4" s="6" t="str">
        <x:v>Target date</x:v>
      </x:c>
      <x:c r="F4" s="6" t="str">
        <x:v>Window (days)</x:v>
      </x:c>
      <x:c r="G4" s="6" t="str">
        <x:v>Source manager</x:v>
      </x:c>
      <x:c r="H4" s="6" t="str">
        <x:v>Target manager</x:v>
      </x:c>
      <x:c r="I4" s="6" t="str">
        <x:v>Shared borrower?</x:v>
      </x:c>
      <x:c r="J4" s="6" t="str">
        <x:v>Exact facility?</x:v>
      </x:c>
      <x:c r="K4" s="6" t="str">
        <x:v>Evidence / facility</x:v>
      </x:c>
      <x:c r="L4" s="6" t="str">
        <x:v>Review note</x:v>
      </x:c>
    </x:row>
    <x:row r="5">
      <x:c r="A5" s="20" t="str">
        <x:v>2025Q2</x:v>
      </x:c>
      <x:c r="B5" s="20" t="str">
        <x:v>OCIC</x:v>
      </x:c>
      <x:c r="C5" s="20" t="str">
        <x:v>MFIC</x:v>
      </x:c>
      <x:c r="D5" s="40" t="n">
        <x:v>45876</x:v>
      </x:c>
      <x:c r="E5" s="40" t="n">
        <x:v>45880</x:v>
      </x:c>
      <x:c r="F5" s="41" t="n">
        <x:v>4</x:v>
      </x:c>
      <x:c r="G5" s="20" t="str">
        <x:v>Blue Owl</x:v>
      </x:c>
      <x:c r="H5" s="20" t="str">
        <x:v>MidCap / Apollo</x:v>
      </x:c>
      <x:c r="I5" s="56" t="str">
        <x:v>Не проверено</x:v>
      </x:c>
      <x:c r="J5" s="56" t="str">
        <x:v>Не проверено</x:v>
      </x:c>
      <x:c r="K5" s="56" t="str"/>
      <x:c r="L5" s="56" t="str"/>
    </x:row>
    <x:row r="6">
      <x:c r="A6" s="20" t="str">
        <x:v>2025Q2</x:v>
      </x:c>
      <x:c r="B6" s="20" t="str">
        <x:v>ADS</x:v>
      </x:c>
      <x:c r="C6" s="20" t="str">
        <x:v>MFIC</x:v>
      </x:c>
      <x:c r="D6" s="40" t="n">
        <x:v>45877</x:v>
      </x:c>
      <x:c r="E6" s="40" t="n">
        <x:v>45880</x:v>
      </x:c>
      <x:c r="F6" s="41" t="n">
        <x:v>3</x:v>
      </x:c>
      <x:c r="G6" s="20" t="str">
        <x:v>Apollo</x:v>
      </x:c>
      <x:c r="H6" s="20" t="str">
        <x:v>MidCap / Apollo</x:v>
      </x:c>
      <x:c r="I6" s="56" t="str">
        <x:v>Не проверено</x:v>
      </x:c>
      <x:c r="J6" s="56" t="str">
        <x:v>Не проверено</x:v>
      </x:c>
      <x:c r="K6" s="56" t="str"/>
      <x:c r="L6" s="56" t="str"/>
    </x:row>
    <x:row r="7">
      <x:c r="A7" s="20" t="str">
        <x:v>2025Q2</x:v>
      </x:c>
      <x:c r="B7" s="20" t="str">
        <x:v>ASIF</x:v>
      </x:c>
      <x:c r="C7" s="20" t="str">
        <x:v>MFIC</x:v>
      </x:c>
      <x:c r="D7" s="40" t="n">
        <x:v>45875</x:v>
      </x:c>
      <x:c r="E7" s="40" t="n">
        <x:v>45880</x:v>
      </x:c>
      <x:c r="F7" s="41" t="n">
        <x:v>5</x:v>
      </x:c>
      <x:c r="G7" s="20" t="str">
        <x:v>Ares</x:v>
      </x:c>
      <x:c r="H7" s="20" t="str">
        <x:v>MidCap / Apollo</x:v>
      </x:c>
      <x:c r="I7" s="56" t="str">
        <x:v>Не проверено</x:v>
      </x:c>
      <x:c r="J7" s="56" t="str">
        <x:v>Не проверено</x:v>
      </x:c>
      <x:c r="K7" s="56" t="str"/>
      <x:c r="L7" s="56" t="str"/>
    </x:row>
    <x:row r="8">
      <x:c r="A8" s="20" t="str">
        <x:v>2025Q3</x:v>
      </x:c>
      <x:c r="B8" s="20" t="str">
        <x:v>BCRED</x:v>
      </x:c>
      <x:c r="C8" s="20" t="str">
        <x:v>GBDC</x:v>
      </x:c>
      <x:c r="D8" s="40" t="n">
        <x:v>45974</x:v>
      </x:c>
      <x:c r="E8" s="40" t="n">
        <x:v>45979</x:v>
      </x:c>
      <x:c r="F8" s="41" t="n">
        <x:v>5</x:v>
      </x:c>
      <x:c r="G8" s="20" t="str">
        <x:v>Blackstone</x:v>
      </x:c>
      <x:c r="H8" s="20" t="str">
        <x:v>Golub Capital</x:v>
      </x:c>
      <x:c r="I8" s="56" t="str">
        <x:v>Не проверено</x:v>
      </x:c>
      <x:c r="J8" s="56" t="str">
        <x:v>Не проверено</x:v>
      </x:c>
      <x:c r="K8" s="56" t="str"/>
      <x:c r="L8" s="56" t="str"/>
    </x:row>
    <x:row r="9">
      <x:c r="A9" s="20" t="str">
        <x:v>2025Q3</x:v>
      </x:c>
      <x:c r="B9" s="20" t="str">
        <x:v>BCRED</x:v>
      </x:c>
      <x:c r="C9" s="20" t="str">
        <x:v>OCSL</x:v>
      </x:c>
      <x:c r="D9" s="40" t="n">
        <x:v>45974</x:v>
      </x:c>
      <x:c r="E9" s="40" t="n">
        <x:v>45979</x:v>
      </x:c>
      <x:c r="F9" s="41" t="n">
        <x:v>5</x:v>
      </x:c>
      <x:c r="G9" s="20" t="str">
        <x:v>Blackstone</x:v>
      </x:c>
      <x:c r="H9" s="20" t="str">
        <x:v>Oaktree</x:v>
      </x:c>
      <x:c r="I9" s="56" t="str">
        <x:v>Не проверено</x:v>
      </x:c>
      <x:c r="J9" s="56" t="str">
        <x:v>Не проверено</x:v>
      </x:c>
      <x:c r="K9" s="56" t="str"/>
      <x:c r="L9" s="56" t="str"/>
    </x:row>
    <x:row r="10">
      <x:c r="A10" s="20" t="str">
        <x:v>2025Q3</x:v>
      </x:c>
      <x:c r="B10" s="20" t="str">
        <x:v>OCIC</x:v>
      </x:c>
      <x:c r="C10" s="20" t="str">
        <x:v>BXSL</x:v>
      </x:c>
      <x:c r="D10" s="40" t="n">
        <x:v>45967</x:v>
      </x:c>
      <x:c r="E10" s="40" t="n">
        <x:v>45971</x:v>
      </x:c>
      <x:c r="F10" s="41" t="n">
        <x:v>4</x:v>
      </x:c>
      <x:c r="G10" s="20" t="str">
        <x:v>Blue Owl</x:v>
      </x:c>
      <x:c r="H10" s="20" t="str">
        <x:v>Blackstone</x:v>
      </x:c>
      <x:c r="I10" s="56" t="str">
        <x:v>Не проверено</x:v>
      </x:c>
      <x:c r="J10" s="56" t="str">
        <x:v>Не проверено</x:v>
      </x:c>
      <x:c r="K10" s="56" t="str"/>
      <x:c r="L10" s="56" t="str"/>
    </x:row>
    <x:row r="11">
      <x:c r="A11" s="20" t="str">
        <x:v>2025Q3</x:v>
      </x:c>
      <x:c r="B11" s="20" t="str">
        <x:v>OCIC</x:v>
      </x:c>
      <x:c r="C11" s="20" t="str">
        <x:v>GBDC</x:v>
      </x:c>
      <x:c r="D11" s="40" t="n">
        <x:v>45967</x:v>
      </x:c>
      <x:c r="E11" s="40" t="n">
        <x:v>45979</x:v>
      </x:c>
      <x:c r="F11" s="41" t="n">
        <x:v>12</x:v>
      </x:c>
      <x:c r="G11" s="20" t="str">
        <x:v>Blue Owl</x:v>
      </x:c>
      <x:c r="H11" s="20" t="str">
        <x:v>Golub Capital</x:v>
      </x:c>
      <x:c r="I11" s="56" t="str">
        <x:v>Не проверено</x:v>
      </x:c>
      <x:c r="J11" s="56" t="str">
        <x:v>Не проверено</x:v>
      </x:c>
      <x:c r="K11" s="56" t="str"/>
      <x:c r="L11" s="56" t="str"/>
    </x:row>
    <x:row r="12">
      <x:c r="A12" s="20" t="str">
        <x:v>2025Q3</x:v>
      </x:c>
      <x:c r="B12" s="20" t="str">
        <x:v>OCIC</x:v>
      </x:c>
      <x:c r="C12" s="20" t="str">
        <x:v>OCSL</x:v>
      </x:c>
      <x:c r="D12" s="40" t="n">
        <x:v>45967</x:v>
      </x:c>
      <x:c r="E12" s="40" t="n">
        <x:v>45979</x:v>
      </x:c>
      <x:c r="F12" s="41" t="n">
        <x:v>12</x:v>
      </x:c>
      <x:c r="G12" s="20" t="str">
        <x:v>Blue Owl</x:v>
      </x:c>
      <x:c r="H12" s="20" t="str">
        <x:v>Oaktree</x:v>
      </x:c>
      <x:c r="I12" s="56" t="str">
        <x:v>Не проверено</x:v>
      </x:c>
      <x:c r="J12" s="56" t="str">
        <x:v>Не проверено</x:v>
      </x:c>
      <x:c r="K12" s="56" t="str"/>
      <x:c r="L12" s="56" t="str"/>
    </x:row>
    <x:row r="13">
      <x:c r="A13" s="20" t="str">
        <x:v>2025Q3</x:v>
      </x:c>
      <x:c r="B13" s="20" t="str">
        <x:v>OCIC</x:v>
      </x:c>
      <x:c r="C13" s="20" t="str">
        <x:v>BCSF</x:v>
      </x:c>
      <x:c r="D13" s="40" t="n">
        <x:v>45967</x:v>
      </x:c>
      <x:c r="E13" s="40" t="n">
        <x:v>45971</x:v>
      </x:c>
      <x:c r="F13" s="41" t="n">
        <x:v>4</x:v>
      </x:c>
      <x:c r="G13" s="20" t="str">
        <x:v>Blue Owl</x:v>
      </x:c>
      <x:c r="H13" s="20" t="str">
        <x:v>Bain Capital</x:v>
      </x:c>
      <x:c r="I13" s="56" t="str">
        <x:v>Не проверено</x:v>
      </x:c>
      <x:c r="J13" s="56" t="str">
        <x:v>Не проверено</x:v>
      </x:c>
      <x:c r="K13" s="56" t="str"/>
      <x:c r="L13" s="56" t="str"/>
    </x:row>
    <x:row r="14">
      <x:c r="A14" s="20" t="str">
        <x:v>2025Q3</x:v>
      </x:c>
      <x:c r="B14" s="20" t="str">
        <x:v>ADS</x:v>
      </x:c>
      <x:c r="C14" s="20" t="str">
        <x:v>GBDC</x:v>
      </x:c>
      <x:c r="D14" s="40" t="n">
        <x:v>45973</x:v>
      </x:c>
      <x:c r="E14" s="40" t="n">
        <x:v>45979</x:v>
      </x:c>
      <x:c r="F14" s="41" t="n">
        <x:v>6</x:v>
      </x:c>
      <x:c r="G14" s="20" t="str">
        <x:v>Apollo</x:v>
      </x:c>
      <x:c r="H14" s="20" t="str">
        <x:v>Golub Capital</x:v>
      </x:c>
      <x:c r="I14" s="56" t="str">
        <x:v>Не проверено</x:v>
      </x:c>
      <x:c r="J14" s="56" t="str">
        <x:v>Не проверено</x:v>
      </x:c>
      <x:c r="K14" s="56" t="str"/>
      <x:c r="L14" s="56" t="str"/>
    </x:row>
    <x:row r="15">
      <x:c r="A15" s="20" t="str">
        <x:v>2025Q3</x:v>
      </x:c>
      <x:c r="B15" s="20" t="str">
        <x:v>ADS</x:v>
      </x:c>
      <x:c r="C15" s="20" t="str">
        <x:v>OCSL</x:v>
      </x:c>
      <x:c r="D15" s="40" t="n">
        <x:v>45973</x:v>
      </x:c>
      <x:c r="E15" s="40" t="n">
        <x:v>45979</x:v>
      </x:c>
      <x:c r="F15" s="41" t="n">
        <x:v>6</x:v>
      </x:c>
      <x:c r="G15" s="20" t="str">
        <x:v>Apollo</x:v>
      </x:c>
      <x:c r="H15" s="20" t="str">
        <x:v>Oaktree</x:v>
      </x:c>
      <x:c r="I15" s="56" t="str">
        <x:v>Не проверено</x:v>
      </x:c>
      <x:c r="J15" s="56" t="str">
        <x:v>Не проверено</x:v>
      </x:c>
      <x:c r="K15" s="56" t="str"/>
      <x:c r="L15" s="56" t="str"/>
    </x:row>
    <x:row r="16">
      <x:c r="A16" s="20" t="str">
        <x:v>2025Q3</x:v>
      </x:c>
      <x:c r="B16" s="20" t="str">
        <x:v>ASIF</x:v>
      </x:c>
      <x:c r="C16" s="20" t="str">
        <x:v>GBDC</x:v>
      </x:c>
      <x:c r="D16" s="40" t="n">
        <x:v>45975</x:v>
      </x:c>
      <x:c r="E16" s="40" t="n">
        <x:v>45979</x:v>
      </x:c>
      <x:c r="F16" s="41" t="n">
        <x:v>4</x:v>
      </x:c>
      <x:c r="G16" s="20" t="str">
        <x:v>Ares</x:v>
      </x:c>
      <x:c r="H16" s="20" t="str">
        <x:v>Golub Capital</x:v>
      </x:c>
      <x:c r="I16" s="56" t="str">
        <x:v>Не проверено</x:v>
      </x:c>
      <x:c r="J16" s="56" t="str">
        <x:v>Не проверено</x:v>
      </x:c>
      <x:c r="K16" s="56" t="str"/>
      <x:c r="L16" s="56" t="str"/>
    </x:row>
    <x:row r="17">
      <x:c r="A17" s="20" t="str">
        <x:v>2025Q3</x:v>
      </x:c>
      <x:c r="B17" s="20" t="str">
        <x:v>ASIF</x:v>
      </x:c>
      <x:c r="C17" s="20" t="str">
        <x:v>OCSL</x:v>
      </x:c>
      <x:c r="D17" s="40" t="n">
        <x:v>45975</x:v>
      </x:c>
      <x:c r="E17" s="40" t="n">
        <x:v>45979</x:v>
      </x:c>
      <x:c r="F17" s="41" t="n">
        <x:v>4</x:v>
      </x:c>
      <x:c r="G17" s="20" t="str">
        <x:v>Ares</x:v>
      </x:c>
      <x:c r="H17" s="20" t="str">
        <x:v>Oaktree</x:v>
      </x:c>
      <x:c r="I17" s="56" t="str">
        <x:v>Не проверено</x:v>
      </x:c>
      <x:c r="J17" s="56" t="str">
        <x:v>Не проверено</x:v>
      </x:c>
      <x:c r="K17" s="56" t="str"/>
      <x:c r="L17" s="56" t="str"/>
    </x:row>
    <x:row r="18">
      <x:c r="A18" s="20" t="str">
        <x:v>2025Q4</x:v>
      </x:c>
      <x:c r="B18" s="20" t="str">
        <x:v>OCIC</x:v>
      </x:c>
      <x:c r="C18" s="20" t="str">
        <x:v>CION</x:v>
      </x:c>
      <x:c r="D18" s="40" t="n">
        <x:v>46084</x:v>
      </x:c>
      <x:c r="E18" s="40" t="n">
        <x:v>46093</x:v>
      </x:c>
      <x:c r="F18" s="41" t="n">
        <x:v>9</x:v>
      </x:c>
      <x:c r="G18" s="20" t="str">
        <x:v>Blue Owl</x:v>
      </x:c>
      <x:c r="H18" s="20" t="str">
        <x:v>CION Investment Management</x:v>
      </x:c>
      <x:c r="I18" s="56" t="str">
        <x:v>Не проверено</x:v>
      </x:c>
      <x:c r="J18" s="56" t="str">
        <x:v>Не проверено</x:v>
      </x:c>
      <x:c r="K18" s="56" t="str"/>
      <x:c r="L18" s="56" t="str"/>
    </x:row>
    <x:row r="19">
      <x:c r="A19" s="20" t="str">
        <x:v>2025Q4</x:v>
      </x:c>
      <x:c r="B19" s="20" t="str">
        <x:v>ASIF</x:v>
      </x:c>
      <x:c r="C19" s="20" t="str">
        <x:v>CION</x:v>
      </x:c>
      <x:c r="D19" s="40" t="n">
        <x:v>46090</x:v>
      </x:c>
      <x:c r="E19" s="40" t="n">
        <x:v>46093</x:v>
      </x:c>
      <x:c r="F19" s="41" t="n">
        <x:v>3</x:v>
      </x:c>
      <x:c r="G19" s="20" t="str">
        <x:v>Ares</x:v>
      </x:c>
      <x:c r="H19" s="20" t="str">
        <x:v>CION Investment Management</x:v>
      </x:c>
      <x:c r="I19" s="56" t="str">
        <x:v>Не проверено</x:v>
      </x:c>
      <x:c r="J19" s="56" t="str">
        <x:v>Не проверено</x:v>
      </x:c>
      <x:c r="K19" s="56" t="str"/>
      <x:c r="L19" s="56" t="str"/>
    </x:row>
    <x:row r="20">
      <x:c r="A20" s="20" t="str">
        <x:v>2025Q4</x:v>
      </x:c>
      <x:c r="B20" s="20" t="str">
        <x:v>GCP</x:v>
      </x:c>
      <x:c r="C20" s="20" t="str">
        <x:v>FSK</x:v>
      </x:c>
      <x:c r="D20" s="40" t="n">
        <x:v>46065</x:v>
      </x:c>
      <x:c r="E20" s="40" t="n">
        <x:v>46078</x:v>
      </x:c>
      <x:c r="F20" s="41" t="n">
        <x:v>13</x:v>
      </x:c>
      <x:c r="G20" s="20" t="str">
        <x:v>Golub Capital</x:v>
      </x:c>
      <x:c r="H20" s="20" t="str">
        <x:v>FS Investments / KKR</x:v>
      </x:c>
      <x:c r="I20" s="56" t="str">
        <x:v>Не проверено</x:v>
      </x:c>
      <x:c r="J20" s="56" t="str">
        <x:v>Не проверено</x:v>
      </x:c>
      <x:c r="K20" s="56" t="str"/>
      <x:c r="L20" s="56" t="str"/>
    </x:row>
    <x:row r="21">
      <x:c r="A21" s="20" t="str">
        <x:v>2025Q4</x:v>
      </x:c>
      <x:c r="B21" s="20" t="str">
        <x:v>GCP</x:v>
      </x:c>
      <x:c r="C21" s="20" t="str">
        <x:v>OBDC</x:v>
      </x:c>
      <x:c r="D21" s="40" t="n">
        <x:v>46065</x:v>
      </x:c>
      <x:c r="E21" s="40" t="n">
        <x:v>46071</x:v>
      </x:c>
      <x:c r="F21" s="41" t="n">
        <x:v>6</x:v>
      </x:c>
      <x:c r="G21" s="20" t="str">
        <x:v>Golub Capital</x:v>
      </x:c>
      <x:c r="H21" s="20" t="str">
        <x:v>Blue Owl</x:v>
      </x:c>
      <x:c r="I21" s="56" t="str">
        <x:v>Не проверено</x:v>
      </x:c>
      <x:c r="J21" s="56" t="str">
        <x:v>Не проверено</x:v>
      </x:c>
      <x:c r="K21" s="56" t="str"/>
      <x:c r="L21" s="56" t="str"/>
    </x:row>
    <x:row r="22">
      <x:c r="A22" s="20" t="str">
        <x:v>2025Q4</x:v>
      </x:c>
      <x:c r="B22" s="20" t="str">
        <x:v>GCP</x:v>
      </x:c>
      <x:c r="C22" s="20" t="str">
        <x:v>BXSL</x:v>
      </x:c>
      <x:c r="D22" s="40" t="n">
        <x:v>46065</x:v>
      </x:c>
      <x:c r="E22" s="40" t="n">
        <x:v>46078</x:v>
      </x:c>
      <x:c r="F22" s="41" t="n">
        <x:v>13</x:v>
      </x:c>
      <x:c r="G22" s="20" t="str">
        <x:v>Golub Capital</x:v>
      </x:c>
      <x:c r="H22" s="20" t="str">
        <x:v>Blackstone</x:v>
      </x:c>
      <x:c r="I22" s="56" t="str">
        <x:v>Не проверено</x:v>
      </x:c>
      <x:c r="J22" s="56" t="str">
        <x:v>Не проверено</x:v>
      </x:c>
      <x:c r="K22" s="56" t="str"/>
      <x:c r="L22" s="56" t="str"/>
    </x:row>
    <x:row r="23">
      <x:c r="A23" s="20" t="str">
        <x:v>2025Q4</x:v>
      </x:c>
      <x:c r="B23" s="20" t="str">
        <x:v>GCP</x:v>
      </x:c>
      <x:c r="C23" s="20" t="str">
        <x:v>MAIN</x:v>
      </x:c>
      <x:c r="D23" s="40" t="n">
        <x:v>46065</x:v>
      </x:c>
      <x:c r="E23" s="40" t="n">
        <x:v>46077</x:v>
      </x:c>
      <x:c r="F23" s="41" t="n">
        <x:v>12</x:v>
      </x:c>
      <x:c r="G23" s="20" t="str">
        <x:v>Golub Capital</x:v>
      </x:c>
      <x:c r="H23" s="20" t="str">
        <x:v>Main Street</x:v>
      </x:c>
      <x:c r="I23" s="56" t="str">
        <x:v>Не проверено</x:v>
      </x:c>
      <x:c r="J23" s="56" t="str">
        <x:v>Не проверено</x:v>
      </x:c>
      <x:c r="K23" s="56" t="str"/>
      <x:c r="L23" s="56" t="str"/>
    </x:row>
    <x:row r="24">
      <x:c r="A24" s="20" t="str">
        <x:v>2025Q4</x:v>
      </x:c>
      <x:c r="B24" s="20" t="str">
        <x:v>GCP</x:v>
      </x:c>
      <x:c r="C24" s="20" t="str">
        <x:v>CGBD</x:v>
      </x:c>
      <x:c r="D24" s="40" t="n">
        <x:v>46065</x:v>
      </x:c>
      <x:c r="E24" s="40" t="n">
        <x:v>46076</x:v>
      </x:c>
      <x:c r="F24" s="41" t="n">
        <x:v>11</x:v>
      </x:c>
      <x:c r="G24" s="20" t="str">
        <x:v>Golub Capital</x:v>
      </x:c>
      <x:c r="H24" s="20" t="str">
        <x:v>Carlyle</x:v>
      </x:c>
      <x:c r="I24" s="56" t="str">
        <x:v>Не проверено</x:v>
      </x:c>
      <x:c r="J24" s="56" t="str">
        <x:v>Не проверено</x:v>
      </x:c>
      <x:c r="K24" s="56" t="str"/>
      <x:c r="L24" s="56" t="str"/>
    </x:row>
    <x:row r="25">
      <x:c r="A25" s="20" t="str">
        <x:v>2025Q4</x:v>
      </x:c>
      <x:c r="B25" s="20" t="str">
        <x:v>GCP</x:v>
      </x:c>
      <x:c r="C25" s="20" t="str">
        <x:v>MFIC</x:v>
      </x:c>
      <x:c r="D25" s="40" t="n">
        <x:v>46065</x:v>
      </x:c>
      <x:c r="E25" s="40" t="n">
        <x:v>46079</x:v>
      </x:c>
      <x:c r="F25" s="41" t="n">
        <x:v>14</x:v>
      </x:c>
      <x:c r="G25" s="20" t="str">
        <x:v>Golub Capital</x:v>
      </x:c>
      <x:c r="H25" s="20" t="str">
        <x:v>MidCap / Apollo</x:v>
      </x:c>
      <x:c r="I25" s="56" t="str">
        <x:v>Не проверено</x:v>
      </x:c>
      <x:c r="J25" s="56" t="str">
        <x:v>Не проверено</x:v>
      </x:c>
      <x:c r="K25" s="56" t="str"/>
      <x:c r="L25" s="56" t="str"/>
    </x:row>
    <x:row r="26">
      <x:c r="A26" s="20" t="str">
        <x:v>2025Q4</x:v>
      </x:c>
      <x:c r="B26" s="20" t="str">
        <x:v>GCP</x:v>
      </x:c>
      <x:c r="C26" s="20" t="str">
        <x:v>NMFC</x:v>
      </x:c>
      <x:c r="D26" s="40" t="n">
        <x:v>46065</x:v>
      </x:c>
      <x:c r="E26" s="40" t="n">
        <x:v>46077</x:v>
      </x:c>
      <x:c r="F26" s="41" t="n">
        <x:v>12</x:v>
      </x:c>
      <x:c r="G26" s="20" t="str">
        <x:v>Golub Capital</x:v>
      </x:c>
      <x:c r="H26" s="20" t="str">
        <x:v>New Mountain</x:v>
      </x:c>
      <x:c r="I26" s="56" t="str">
        <x:v>Не проверено</x:v>
      </x:c>
      <x:c r="J26" s="56" t="str">
        <x:v>Не проверено</x:v>
      </x:c>
      <x:c r="K26" s="56" t="str"/>
      <x:c r="L26" s="56" t="str"/>
    </x:row>
    <x:row r="27">
      <x:c r="A27" s="20" t="str">
        <x:v>2025Q4</x:v>
      </x:c>
      <x:c r="B27" s="20" t="str">
        <x:v>GCP</x:v>
      </x:c>
      <x:c r="C27" s="20" t="str">
        <x:v>BCSF</x:v>
      </x:c>
      <x:c r="D27" s="40" t="n">
        <x:v>46065</x:v>
      </x:c>
      <x:c r="E27" s="40" t="n">
        <x:v>46080</x:v>
      </x:c>
      <x:c r="F27" s="41" t="n">
        <x:v>15</x:v>
      </x:c>
      <x:c r="G27" s="20" t="str">
        <x:v>Golub Capital</x:v>
      </x:c>
      <x:c r="H27" s="20" t="str">
        <x:v>Bain Capital</x:v>
      </x:c>
      <x:c r="I27" s="56" t="str">
        <x:v>Не проверено</x:v>
      </x:c>
      <x:c r="J27" s="56" t="str">
        <x:v>Не проверено</x:v>
      </x:c>
      <x:c r="K27" s="56" t="str"/>
      <x:c r="L27" s="56" t="str"/>
    </x:row>
    <x:row r="28">
      <x:c r="A28" s="20" t="str">
        <x:v>2025Q4</x:v>
      </x:c>
      <x:c r="B28" s="20" t="str">
        <x:v>GCP</x:v>
      </x:c>
      <x:c r="C28" s="20" t="str">
        <x:v>CION</x:v>
      </x:c>
      <x:c r="D28" s="40" t="n">
        <x:v>46065</x:v>
      </x:c>
      <x:c r="E28" s="40" t="n">
        <x:v>46093</x:v>
      </x:c>
      <x:c r="F28" s="41" t="n">
        <x:v>28</x:v>
      </x:c>
      <x:c r="G28" s="20" t="str">
        <x:v>Golub Capital</x:v>
      </x:c>
      <x:c r="H28" s="20" t="str">
        <x:v>CION Investment Management</x:v>
      </x:c>
      <x:c r="I28" s="56" t="str">
        <x:v>Не проверено</x:v>
      </x:c>
      <x:c r="J28" s="56" t="str">
        <x:v>Не проверено</x:v>
      </x:c>
      <x:c r="K28" s="56" t="str"/>
      <x:c r="L28" s="56" t="str"/>
    </x:row>
    <x:row r="29">
      <x:c r="A29" s="20" t="str">
        <x:v>2026Q1</x:v>
      </x:c>
      <x:c r="B29" s="20" t="str">
        <x:v>BCRED</x:v>
      </x:c>
      <x:c r="C29" s="20" t="str">
        <x:v>CSWC</x:v>
      </x:c>
      <x:c r="D29" s="40" t="n">
        <x:v>46156</x:v>
      </x:c>
      <x:c r="E29" s="40" t="n">
        <x:v>46161</x:v>
      </x:c>
      <x:c r="F29" s="41" t="n">
        <x:v>5</x:v>
      </x:c>
      <x:c r="G29" s="20" t="str">
        <x:v>Blackstone</x:v>
      </x:c>
      <x:c r="H29" s="20" t="str">
        <x:v>Capital Southwest</x:v>
      </x:c>
      <x:c r="I29" s="56" t="str">
        <x:v>Не проверено</x:v>
      </x:c>
      <x:c r="J29" s="56" t="str">
        <x:v>Не проверено</x:v>
      </x:c>
      <x:c r="K29" s="56" t="str"/>
      <x:c r="L29" s="56" t="str"/>
    </x:row>
    <x:row r="30">
      <x:c r="A30" s="20" t="str">
        <x:v>2026Q1</x:v>
      </x:c>
      <x:c r="B30" s="20" t="str">
        <x:v>OCIC</x:v>
      </x:c>
      <x:c r="C30" s="20" t="str">
        <x:v>CSWC</x:v>
      </x:c>
      <x:c r="D30" s="40" t="n">
        <x:v>46153</x:v>
      </x:c>
      <x:c r="E30" s="40" t="n">
        <x:v>46161</x:v>
      </x:c>
      <x:c r="F30" s="41" t="n">
        <x:v>8</x:v>
      </x:c>
      <x:c r="G30" s="20" t="str">
        <x:v>Blue Owl</x:v>
      </x:c>
      <x:c r="H30" s="20" t="str">
        <x:v>Capital Southwest</x:v>
      </x:c>
      <x:c r="I30" s="56" t="str">
        <x:v>Не проверено</x:v>
      </x:c>
      <x:c r="J30" s="56" t="str">
        <x:v>Не проверено</x:v>
      </x:c>
      <x:c r="K30" s="56" t="str"/>
      <x:c r="L30" s="56" t="str"/>
    </x:row>
    <x:row r="31">
      <x:c r="A31" s="20" t="str">
        <x:v>2026Q1</x:v>
      </x:c>
      <x:c r="B31" s="20" t="str">
        <x:v>ADS</x:v>
      </x:c>
      <x:c r="C31" s="20" t="str">
        <x:v>CSWC</x:v>
      </x:c>
      <x:c r="D31" s="40" t="n">
        <x:v>46153</x:v>
      </x:c>
      <x:c r="E31" s="40" t="n">
        <x:v>46161</x:v>
      </x:c>
      <x:c r="F31" s="41" t="n">
        <x:v>8</x:v>
      </x:c>
      <x:c r="G31" s="20" t="str">
        <x:v>Apollo</x:v>
      </x:c>
      <x:c r="H31" s="20" t="str">
        <x:v>Capital Southwest</x:v>
      </x:c>
      <x:c r="I31" s="56" t="str">
        <x:v>Не проверено</x:v>
      </x:c>
      <x:c r="J31" s="56" t="str">
        <x:v>Не проверено</x:v>
      </x:c>
      <x:c r="K31" s="56" t="str"/>
      <x:c r="L31" s="56" t="str"/>
    </x:row>
    <x:row r="32">
      <x:c r="A32" s="20" t="str">
        <x:v>2026Q1</x:v>
      </x:c>
      <x:c r="B32" s="20" t="str">
        <x:v>ASIF</x:v>
      </x:c>
      <x:c r="C32" s="20" t="str">
        <x:v>CSWC</x:v>
      </x:c>
      <x:c r="D32" s="40" t="n">
        <x:v>46154</x:v>
      </x:c>
      <x:c r="E32" s="40" t="n">
        <x:v>46161</x:v>
      </x:c>
      <x:c r="F32" s="41" t="n">
        <x:v>7</x:v>
      </x:c>
      <x:c r="G32" s="20" t="str">
        <x:v>Ares</x:v>
      </x:c>
      <x:c r="H32" s="20" t="str">
        <x:v>Capital Southwest</x:v>
      </x:c>
      <x:c r="I32" s="56" t="str">
        <x:v>Не проверено</x:v>
      </x:c>
      <x:c r="J32" s="56" t="str">
        <x:v>Не проверено</x:v>
      </x:c>
      <x:c r="K32" s="56" t="str"/>
      <x:c r="L32" s="56" t="str"/>
    </x:row>
    <x:row r="33">
      <x:c r="A33" s="20" t="str">
        <x:v>2026Q1</x:v>
      </x:c>
      <x:c r="B33" s="20" t="str">
        <x:v>GCP</x:v>
      </x:c>
      <x:c r="C33" s="20" t="str">
        <x:v>CSWC</x:v>
      </x:c>
      <x:c r="D33" s="40" t="n">
        <x:v>46154</x:v>
      </x:c>
      <x:c r="E33" s="40" t="n">
        <x:v>46161</x:v>
      </x:c>
      <x:c r="F33" s="41" t="n">
        <x:v>7</x:v>
      </x:c>
      <x:c r="G33" s="20" t="str">
        <x:v>Golub Capital</x:v>
      </x:c>
      <x:c r="H33" s="20" t="str">
        <x:v>Capital Southwest</x:v>
      </x:c>
      <x:c r="I33" s="56" t="str">
        <x:v>Не проверено</x:v>
      </x:c>
      <x:c r="J33" s="56" t="str">
        <x:v>Не проверено</x:v>
      </x:c>
      <x:c r="K33" s="56" t="str"/>
      <x:c r="L33" s="56" t="str"/>
    </x:row>
  </x:sheetData>
  <x:mergeCells>
    <x:mergeCell ref="A1:L1"/>
    <x:mergeCell ref="A2:L2"/>
  </x:mergeCells>
  <x:conditionalFormatting sqref="F5:F33">
    <x:cfRule type="dataBar" priority="1">
      <x:dataBar>
        <x:cfvo type="min"/>
        <x:cfvo type="max"/>
        <x:color rgb="FF70AD47"/>
      </x:dataBar>
      <x:extLst>
        <x:ext xmlns:x14="http://schemas.microsoft.com/office/spreadsheetml/2009/9/main" uri="{B025F937-C7B1-47D3-B67F-A62EFF666E3E}">
          <x14:id>{F391BCC2-9D6B-B219-06B1-7FE4A0C10C4C}</x14:id>
        </x:ext>
      </x:extLst>
    </x:cfRule>
  </x:conditionalFormatting>
  <x:dataValidations count="1">
    <x:dataValidation type="list" sqref="I5:J33">
      <x:formula1>"Не проверено,Да,Нет,Неясно"</x:formula1>
    </x:dataValidation>
  </x:dataValidations>
  <x:pageMargins left="0.7" right="0.7" top="0.75" bottom="0.75" header="0.3" footer="0.3"/>
  <x:tableParts count="1">
    <x:tablePart xmlns:r="http://schemas.openxmlformats.org/officeDocument/2006/relationships" r:id="R451680216f0c4429"/>
  </x:tableParts>
  <x:extLst>
    <x:ext xmlns:x14="http://schemas.microsoft.com/office/spreadsheetml/2009/9/main" xmlns:xm="http://schemas.microsoft.com/office/excel/2006/main" uri="{78C0D931-6437-407d-A8EE-F0AAD7539E65}">
      <x14:conditionalFormattings>
        <x14:conditionalFormatting>
          <x14:cfRule type="dataBar" priority="1" id="{F391BCC2-9D6B-B219-06B1-7FE4A0C10C4C}">
            <x14:dataBar gradient="1">
              <x14:cfvo type="min"/>
              <x14:cfvo type="max"/>
              <x14:fillColor rgb="FF70AD47"/>
            </x14:dataBar>
          </x14:cfRule>
          <xm:sqref>F5:F33</xm:sqref>
        </x14:conditionalFormatting>
      </x14:conditionalFormattings>
    </x:ext>
  </x:extLst>
</x:worksheet>
</file>

<file path=xl/worksheets/sheet8.xml><?xml version="1.0" encoding="utf-8"?>
<x:worksheet xmlns:x="http://schemas.openxmlformats.org/spreadsheetml/2006/main">
  <x:sheetFormatPr defaultRowHeight="15"/>
  <x:cols>
    <x:col min="1" max="1" width="24" hidden="0" customWidth="1"/>
    <x:col min="2" max="2" width="48" hidden="0" customWidth="1"/>
    <x:col min="3" max="3" width="18" hidden="0" customWidth="1"/>
    <x:col min="4" max="4" width="24" hidden="0" customWidth="1"/>
    <x:col min="5" max="5" width="30" hidden="0" customWidth="1"/>
    <x:col min="7" max="7" width="10" hidden="0" customWidth="1"/>
    <x:col min="8" max="8" width="10" hidden="0" customWidth="1"/>
    <x:col min="9" max="9" width="10" hidden="0" customWidth="1"/>
    <x:col min="10" max="10" width="10" hidden="0" customWidth="1"/>
    <x:col min="11" max="11" width="22" hidden="0" customWidth="1"/>
    <x:col min="12" max="12" width="28" hidden="0" customWidth="1"/>
    <x:col min="13" max="13" width="12" hidden="0" customWidth="1"/>
    <x:col min="14" max="14" width="12" hidden="0" customWidth="1"/>
    <x:col min="15" max="15" width="12" hidden="0" customWidth="1"/>
    <x:col min="16" max="16" width="12" hidden="0" customWidth="1"/>
    <x:col min="17" max="17" width="16" hidden="0" customWidth="1"/>
    <x:col min="18" max="18" width="16" hidden="0" customWidth="1"/>
    <x:col min="19" max="19" width="14" hidden="0" customWidth="1"/>
  </x:cols>
  <x:sheetData>
    <x:row r="1">
      <x:c r="A1" s="15" t="str">
        <x:v>ShadowNAV — схема exact facility и ручной historical nowcast</x:v>
      </x:c>
      <x:c r="B1" s="15"/>
      <x:c r="C1" s="15"/>
      <x:c r="D1" s="15"/>
      <x:c r="E1" s="15"/>
      <x:c r="F1" s="15"/>
      <x:c r="G1" s="15"/>
      <x:c r="H1" s="15"/>
      <x:c r="I1" s="15"/>
      <x:c r="J1" s="15"/>
    </x:row>
    <x:row r="2">
      <x:c r="A2" s="24" t="str">
        <x:v>Единица анализа = facility/tranche, НЕ borrower. Сначала categorical flags (PIK / non-accrual), затем FV/par. Все жёлтые поля заполняются вручную или детерминированным парсером.</x:v>
      </x:c>
      <x:c r="B2" s="24"/>
      <x:c r="C2" s="24"/>
      <x:c r="D2" s="24"/>
      <x:c r="E2" s="24"/>
      <x:c r="F2" s="24"/>
      <x:c r="G2" s="24"/>
      <x:c r="H2" s="24"/>
      <x:c r="I2" s="24"/>
      <x:c r="J2" s="24"/>
    </x:row>
    <x:row r="4">
      <x:c r="A4" s="6" t="str">
        <x:v>Field</x:v>
      </x:c>
      <x:c r="B4" s="6" t="str">
        <x:v>Meaning</x:v>
      </x:c>
      <x:c r="C4" s="6" t="str">
        <x:v>Type / Unit</x:v>
      </x:c>
      <x:c r="D4" s="6" t="str">
        <x:v>Status</x:v>
      </x:c>
      <x:c r="E4" s="6" t="str">
        <x:v>Day 1 note</x:v>
      </x:c>
      <x:c r="G4" s="47" t="str">
        <x:v>Manual pilot — fill only after random sample is frozen</x:v>
      </x:c>
      <x:c r="H4" s="47"/>
      <x:c r="I4" s="47"/>
      <x:c r="J4" s="47"/>
      <x:c r="K4" s="47"/>
      <x:c r="L4" s="47"/>
      <x:c r="M4" s="47"/>
      <x:c r="N4" s="47"/>
      <x:c r="O4" s="47"/>
      <x:c r="P4" s="47"/>
    </x:row>
    <x:row r="5">
      <x:c r="A5" s="20" t="str">
        <x:v>event_id</x:v>
      </x:c>
      <x:c r="B5" s="20" t="str">
        <x:v>Unique source-target-quarter-facility key</x:v>
      </x:c>
      <x:c r="C5" s="20" t="str">
        <x:v>Text</x:v>
      </x:c>
      <x:c r="D5" s="20" t="str">
        <x:v>Required</x:v>
      </x:c>
      <x:c r="E5" s="20" t="str"/>
      <x:c r="G5" s="6" t="str">
        <x:v>Sample ID</x:v>
      </x:c>
      <x:c r="H5" s="6" t="str">
        <x:v>Period</x:v>
      </x:c>
      <x:c r="I5" s="6" t="str">
        <x:v>Source</x:v>
      </x:c>
      <x:c r="J5" s="6" t="str">
        <x:v>Target</x:v>
      </x:c>
      <x:c r="K5" s="6" t="str">
        <x:v>Borrower</x:v>
      </x:c>
      <x:c r="L5" s="6" t="str">
        <x:v>Facility</x:v>
      </x:c>
      <x:c r="M5" s="6" t="str">
        <x:v>Source mark</x:v>
      </x:c>
      <x:c r="N5" s="6" t="str">
        <x:v>Baseline</x:v>
      </x:c>
      <x:c r="O5" s="6" t="str">
        <x:v>Prediction</x:v>
      </x:c>
      <x:c r="P5" s="6" t="str">
        <x:v>Actual</x:v>
      </x:c>
      <x:c r="Q5" s="6" t="str">
        <x:v>Baseline abs error</x:v>
      </x:c>
      <x:c r="R5" s="6" t="str">
        <x:v>Model abs error</x:v>
      </x:c>
      <x:c r="S5" s="6" t="str">
        <x:v>Improvement</x:v>
      </x:c>
    </x:row>
    <x:row r="6">
      <x:c r="A6" s="20" t="str">
        <x:v>quarter_end</x:v>
      </x:c>
      <x:c r="B6" s="20" t="str">
        <x:v>Same economic measurement date</x:v>
      </x:c>
      <x:c r="C6" s="20" t="str">
        <x:v>Date</x:v>
      </x:c>
      <x:c r="D6" s="20" t="str">
        <x:v>Required</x:v>
      </x:c>
      <x:c r="E6" s="20" t="str"/>
      <x:c r="G6" s="60" t="str">
        <x:v>S01</x:v>
      </x:c>
      <x:c r="H6" s="60" t="str"/>
      <x:c r="I6" s="60" t="str"/>
      <x:c r="J6" s="60" t="str"/>
      <x:c r="K6" s="60" t="str"/>
      <x:c r="L6" s="60" t="str"/>
      <x:c r="M6" s="60" t="str"/>
      <x:c r="N6" s="60" t="str"/>
      <x:c r="O6" s="60" t="str"/>
      <x:c r="P6" s="60" t="str"/>
      <x:c r="Q6" s="62" t="str">
        <x:f>IF(OR(N6="",P6=""),"",ABS(N6-P6))</x:f>
      </x:c>
      <x:c r="R6" s="62" t="str">
        <x:f>IF(OR(O6="",P6=""),"",ABS(O6-P6))</x:f>
      </x:c>
      <x:c r="S6" s="64" t="str">
        <x:f>IF(OR(Q6="",R6="",Q6=0),"",1-R6/Q6)</x:f>
      </x:c>
    </x:row>
    <x:row r="7">
      <x:c r="A7" s="20" t="str">
        <x:v>source_accession</x:v>
      </x:c>
      <x:c r="B7" s="20" t="str">
        <x:v>SEC accession of early source</x:v>
      </x:c>
      <x:c r="C7" s="20" t="str">
        <x:v>Text</x:v>
      </x:c>
      <x:c r="D7" s="20" t="str">
        <x:v>Required</x:v>
      </x:c>
      <x:c r="E7" s="20" t="str"/>
      <x:c r="G7" s="60" t="str">
        <x:v>S02</x:v>
      </x:c>
      <x:c r="H7" s="60" t="str"/>
      <x:c r="I7" s="60" t="str"/>
      <x:c r="J7" s="60" t="str"/>
      <x:c r="K7" s="60" t="str"/>
      <x:c r="L7" s="60" t="str"/>
      <x:c r="M7" s="60" t="str"/>
      <x:c r="N7" s="60" t="str"/>
      <x:c r="O7" s="60" t="str"/>
      <x:c r="P7" s="60" t="str"/>
      <x:c r="Q7" s="62" t="str">
        <x:f>IF(OR(N7="",P7=""),"",ABS(N7-P7))</x:f>
      </x:c>
      <x:c r="R7" s="62" t="str">
        <x:f>IF(OR(O7="",P7=""),"",ABS(O7-P7))</x:f>
      </x:c>
      <x:c r="S7" s="64" t="str">
        <x:f>IF(OR(Q7="",R7="",Q7=0),"",1-R7/Q7)</x:f>
      </x:c>
    </x:row>
    <x:row r="8">
      <x:c r="A8" s="20" t="str">
        <x:v>source_acceptance_dt</x:v>
      </x:c>
      <x:c r="B8" s="20" t="str">
        <x:v>Information availability timestamp</x:v>
      </x:c>
      <x:c r="C8" s="20" t="str">
        <x:v>Datetime</x:v>
      </x:c>
      <x:c r="D8" s="20" t="str">
        <x:v>Required</x:v>
      </x:c>
      <x:c r="E8" s="20" t="str"/>
      <x:c r="G8" s="60" t="str">
        <x:v>S03</x:v>
      </x:c>
      <x:c r="H8" s="60" t="str"/>
      <x:c r="I8" s="60" t="str"/>
      <x:c r="J8" s="60" t="str"/>
      <x:c r="K8" s="60" t="str"/>
      <x:c r="L8" s="60" t="str"/>
      <x:c r="M8" s="60" t="str"/>
      <x:c r="N8" s="60" t="str"/>
      <x:c r="O8" s="60" t="str"/>
      <x:c r="P8" s="60" t="str"/>
      <x:c r="Q8" s="62" t="str">
        <x:f>IF(OR(N8="",P8=""),"",ABS(N8-P8))</x:f>
      </x:c>
      <x:c r="R8" s="62" t="str">
        <x:f>IF(OR(O8="",P8=""),"",ABS(O8-P8))</x:f>
      </x:c>
      <x:c r="S8" s="64" t="str">
        <x:f>IF(OR(Q8="",R8="",Q8=0),"",1-R8/Q8)</x:f>
      </x:c>
    </x:row>
    <x:row r="9">
      <x:c r="A9" s="20" t="str">
        <x:v>target_first_public_dt</x:v>
      </x:c>
      <x:c r="B9" s="20" t="str">
        <x:v>First target NAV/earnings disclosure, not merely 10-Q</x:v>
      </x:c>
      <x:c r="C9" s="20" t="str">
        <x:v>Datetime</x:v>
      </x:c>
      <x:c r="D9" s="20" t="str">
        <x:v>Required</x:v>
      </x:c>
      <x:c r="E9" s="20" t="str"/>
      <x:c r="G9" s="60" t="str">
        <x:v>S04</x:v>
      </x:c>
      <x:c r="H9" s="60" t="str"/>
      <x:c r="I9" s="60" t="str"/>
      <x:c r="J9" s="60" t="str"/>
      <x:c r="K9" s="60" t="str"/>
      <x:c r="L9" s="60" t="str"/>
      <x:c r="M9" s="60" t="str"/>
      <x:c r="N9" s="60" t="str"/>
      <x:c r="O9" s="60" t="str"/>
      <x:c r="P9" s="60" t="str"/>
      <x:c r="Q9" s="62" t="str">
        <x:f>IF(OR(N9="",P9=""),"",ABS(N9-P9))</x:f>
      </x:c>
      <x:c r="R9" s="62" t="str">
        <x:f>IF(OR(O9="",P9=""),"",ABS(O9-P9))</x:f>
      </x:c>
      <x:c r="S9" s="64" t="str">
        <x:f>IF(OR(Q9="",R9="",Q9=0),"",1-R9/Q9)</x:f>
      </x:c>
    </x:row>
    <x:row r="10">
      <x:c r="A10" s="20" t="str">
        <x:v>window_hours</x:v>
      </x:c>
      <x:c r="B10" s="20" t="str">
        <x:v>Target first public − source acceptance</x:v>
      </x:c>
      <x:c r="C10" s="20" t="str">
        <x:v>Formula</x:v>
      </x:c>
      <x:c r="D10" s="20" t="str">
        <x:v>Required</x:v>
      </x:c>
      <x:c r="E10" s="20" t="str"/>
      <x:c r="G10" s="60" t="str">
        <x:v>S05</x:v>
      </x:c>
      <x:c r="H10" s="60" t="str"/>
      <x:c r="I10" s="60" t="str"/>
      <x:c r="J10" s="60" t="str"/>
      <x:c r="K10" s="60" t="str"/>
      <x:c r="L10" s="60" t="str"/>
      <x:c r="M10" s="60" t="str"/>
      <x:c r="N10" s="60" t="str"/>
      <x:c r="O10" s="60" t="str"/>
      <x:c r="P10" s="60" t="str"/>
      <x:c r="Q10" s="62" t="str">
        <x:f>IF(OR(N10="",P10=""),"",ABS(N10-P10))</x:f>
      </x:c>
      <x:c r="R10" s="62" t="str">
        <x:f>IF(OR(O10="",P10=""),"",ABS(O10-P10))</x:f>
      </x:c>
      <x:c r="S10" s="64" t="str">
        <x:f>IF(OR(Q10="",R10="",Q10=0),"",1-R10/Q10)</x:f>
      </x:c>
    </x:row>
    <x:row r="11">
      <x:c r="A11" s="20" t="str">
        <x:v>source_bdc / target_bdc</x:v>
      </x:c>
      <x:c r="B11" s="20" t="str">
        <x:v>CIK + ticker</x:v>
      </x:c>
      <x:c r="C11" s="20" t="str">
        <x:v>Text</x:v>
      </x:c>
      <x:c r="D11" s="20" t="str">
        <x:v>Required</x:v>
      </x:c>
      <x:c r="E11" s="20" t="str"/>
      <x:c r="G11" s="60" t="str">
        <x:v>S06</x:v>
      </x:c>
      <x:c r="H11" s="60" t="str"/>
      <x:c r="I11" s="60" t="str"/>
      <x:c r="J11" s="60" t="str"/>
      <x:c r="K11" s="60" t="str"/>
      <x:c r="L11" s="60" t="str"/>
      <x:c r="M11" s="60" t="str"/>
      <x:c r="N11" s="60" t="str"/>
      <x:c r="O11" s="60" t="str"/>
      <x:c r="P11" s="60" t="str"/>
      <x:c r="Q11" s="62" t="str">
        <x:f>IF(OR(N11="",P11=""),"",ABS(N11-P11))</x:f>
      </x:c>
      <x:c r="R11" s="62" t="str">
        <x:f>IF(OR(O11="",P11=""),"",ABS(O11-P11))</x:f>
      </x:c>
      <x:c r="S11" s="64" t="str">
        <x:f>IF(OR(Q11="",R11="",Q11=0),"",1-R11/Q11)</x:f>
      </x:c>
    </x:row>
    <x:row r="12">
      <x:c r="A12" s="20" t="str">
        <x:v>borrower_raw / borrower_id</x:v>
      </x:c>
      <x:c r="B12" s="20" t="str">
        <x:v>Raw issuer label + canonical entity</x:v>
      </x:c>
      <x:c r="C12" s="20" t="str">
        <x:v>Text</x:v>
      </x:c>
      <x:c r="D12" s="20" t="str">
        <x:v>Required</x:v>
      </x:c>
      <x:c r="E12" s="20" t="str"/>
      <x:c r="G12" s="60" t="str">
        <x:v>S07</x:v>
      </x:c>
      <x:c r="H12" s="60" t="str"/>
      <x:c r="I12" s="60" t="str"/>
      <x:c r="J12" s="60" t="str"/>
      <x:c r="K12" s="60" t="str"/>
      <x:c r="L12" s="60" t="str"/>
      <x:c r="M12" s="60" t="str"/>
      <x:c r="N12" s="60" t="str"/>
      <x:c r="O12" s="60" t="str"/>
      <x:c r="P12" s="60" t="str"/>
      <x:c r="Q12" s="62" t="str">
        <x:f>IF(OR(N12="",P12=""),"",ABS(N12-P12))</x:f>
      </x:c>
      <x:c r="R12" s="62" t="str">
        <x:f>IF(OR(O12="",P12=""),"",ABS(O12-P12))</x:f>
      </x:c>
      <x:c r="S12" s="64" t="str">
        <x:f>IF(OR(Q12="",R12="",Q12=0),"",1-R12/Q12)</x:f>
      </x:c>
    </x:row>
    <x:row r="13">
      <x:c r="A13" s="20" t="str">
        <x:v>facility_type</x:v>
      </x:c>
      <x:c r="B13" s="20" t="str">
        <x:v>Term loan / revolver / delayed draw / preferred etc.</x:v>
      </x:c>
      <x:c r="C13" s="20" t="str">
        <x:v>Category</x:v>
      </x:c>
      <x:c r="D13" s="20" t="str">
        <x:v>Required</x:v>
      </x:c>
      <x:c r="E13" s="20" t="str"/>
      <x:c r="G13" s="60" t="str">
        <x:v>S08</x:v>
      </x:c>
      <x:c r="H13" s="60" t="str"/>
      <x:c r="I13" s="60" t="str"/>
      <x:c r="J13" s="60" t="str"/>
      <x:c r="K13" s="60" t="str"/>
      <x:c r="L13" s="60" t="str"/>
      <x:c r="M13" s="60" t="str"/>
      <x:c r="N13" s="60" t="str"/>
      <x:c r="O13" s="60" t="str"/>
      <x:c r="P13" s="60" t="str"/>
      <x:c r="Q13" s="62" t="str">
        <x:f>IF(OR(N13="",P13=""),"",ABS(N13-P13))</x:f>
      </x:c>
      <x:c r="R13" s="62" t="str">
        <x:f>IF(OR(O13="",P13=""),"",ABS(O13-P13))</x:f>
      </x:c>
      <x:c r="S13" s="64" t="str">
        <x:f>IF(OR(Q13="",R13="",Q13=0),"",1-R13/Q13)</x:f>
      </x:c>
    </x:row>
    <x:row r="14">
      <x:c r="A14" s="20" t="str">
        <x:v>lien_seniority</x:v>
      </x:c>
      <x:c r="B14" s="20" t="str">
        <x:v>First lien / second lien / subordinated</x:v>
      </x:c>
      <x:c r="C14" s="20" t="str">
        <x:v>Category</x:v>
      </x:c>
      <x:c r="D14" s="20" t="str">
        <x:v>Required</x:v>
      </x:c>
      <x:c r="E14" s="20" t="str"/>
      <x:c r="G14" s="60" t="str">
        <x:v>S09</x:v>
      </x:c>
      <x:c r="H14" s="60" t="str"/>
      <x:c r="I14" s="60" t="str"/>
      <x:c r="J14" s="60" t="str"/>
      <x:c r="K14" s="60" t="str"/>
      <x:c r="L14" s="60" t="str"/>
      <x:c r="M14" s="60" t="str"/>
      <x:c r="N14" s="60" t="str"/>
      <x:c r="O14" s="60" t="str"/>
      <x:c r="P14" s="60" t="str"/>
      <x:c r="Q14" s="62" t="str">
        <x:f>IF(OR(N14="",P14=""),"",ABS(N14-P14))</x:f>
      </x:c>
      <x:c r="R14" s="62" t="str">
        <x:f>IF(OR(O14="",P14=""),"",ABS(O14-P14))</x:f>
      </x:c>
      <x:c r="S14" s="64" t="str">
        <x:f>IF(OR(Q14="",R14="",Q14=0),"",1-R14/Q14)</x:f>
      </x:c>
    </x:row>
    <x:row r="15">
      <x:c r="A15" s="20" t="str">
        <x:v>currency</x:v>
      </x:c>
      <x:c r="B15" s="20" t="str">
        <x:v>USD / other</x:v>
      </x:c>
      <x:c r="C15" s="20" t="str">
        <x:v>Category</x:v>
      </x:c>
      <x:c r="D15" s="20" t="str">
        <x:v>Required</x:v>
      </x:c>
      <x:c r="E15" s="20" t="str"/>
      <x:c r="G15" s="60" t="str">
        <x:v>S10</x:v>
      </x:c>
      <x:c r="H15" s="60" t="str"/>
      <x:c r="I15" s="60" t="str"/>
      <x:c r="J15" s="60" t="str"/>
      <x:c r="K15" s="60" t="str"/>
      <x:c r="L15" s="60" t="str"/>
      <x:c r="M15" s="60" t="str"/>
      <x:c r="N15" s="60" t="str"/>
      <x:c r="O15" s="60" t="str"/>
      <x:c r="P15" s="60" t="str"/>
      <x:c r="Q15" s="62" t="str">
        <x:f>IF(OR(N15="",P15=""),"",ABS(N15-P15))</x:f>
      </x:c>
      <x:c r="R15" s="62" t="str">
        <x:f>IF(OR(O15="",P15=""),"",ABS(O15-P15))</x:f>
      </x:c>
      <x:c r="S15" s="64" t="str">
        <x:f>IF(OR(Q15="",R15="",Q15=0),"",1-R15/Q15)</x:f>
      </x:c>
    </x:row>
    <x:row r="16">
      <x:c r="A16" s="20" t="str">
        <x:v>rate_base / spread_bps</x:v>
      </x:c>
      <x:c r="B16" s="20" t="str">
        <x:v>SOFR / base rate + spread</x:v>
      </x:c>
      <x:c r="C16" s="20" t="str">
        <x:v>Numeric</x:v>
      </x:c>
      <x:c r="D16" s="20" t="str">
        <x:v>Preferred</x:v>
      </x:c>
      <x:c r="E16" s="20" t="str"/>
      <x:c r="G16" s="60" t="str">
        <x:v>S11</x:v>
      </x:c>
      <x:c r="H16" s="60" t="str"/>
      <x:c r="I16" s="60" t="str"/>
      <x:c r="J16" s="60" t="str"/>
      <x:c r="K16" s="60" t="str"/>
      <x:c r="L16" s="60" t="str"/>
      <x:c r="M16" s="60" t="str"/>
      <x:c r="N16" s="60" t="str"/>
      <x:c r="O16" s="60" t="str"/>
      <x:c r="P16" s="60" t="str"/>
      <x:c r="Q16" s="62" t="str">
        <x:f>IF(OR(N16="",P16=""),"",ABS(N16-P16))</x:f>
      </x:c>
      <x:c r="R16" s="62" t="str">
        <x:f>IF(OR(O16="",P16=""),"",ABS(O16-P16))</x:f>
      </x:c>
      <x:c r="S16" s="64" t="str">
        <x:f>IF(OR(Q16="",R16="",Q16=0),"",1-R16/Q16)</x:f>
      </x:c>
    </x:row>
    <x:row r="17">
      <x:c r="A17" s="20" t="str">
        <x:v>maturity_date</x:v>
      </x:c>
      <x:c r="B17" s="20" t="str">
        <x:v>Facility maturity</x:v>
      </x:c>
      <x:c r="C17" s="20" t="str">
        <x:v>Date</x:v>
      </x:c>
      <x:c r="D17" s="20" t="str">
        <x:v>Required</x:v>
      </x:c>
      <x:c r="E17" s="20" t="str"/>
      <x:c r="G17" s="60" t="str">
        <x:v>S12</x:v>
      </x:c>
      <x:c r="H17" s="60" t="str"/>
      <x:c r="I17" s="60" t="str"/>
      <x:c r="J17" s="60" t="str"/>
      <x:c r="K17" s="60" t="str"/>
      <x:c r="L17" s="60" t="str"/>
      <x:c r="M17" s="60" t="str"/>
      <x:c r="N17" s="60" t="str"/>
      <x:c r="O17" s="60" t="str"/>
      <x:c r="P17" s="60" t="str"/>
      <x:c r="Q17" s="62" t="str">
        <x:f>IF(OR(N17="",P17=""),"",ABS(N17-P17))</x:f>
      </x:c>
      <x:c r="R17" s="62" t="str">
        <x:f>IF(OR(O17="",P17=""),"",ABS(O17-P17))</x:f>
      </x:c>
      <x:c r="S17" s="64" t="str">
        <x:f>IF(OR(Q17="",R17="",Q17=0),"",1-R17/Q17)</x:f>
      </x:c>
    </x:row>
    <x:row r="18">
      <x:c r="A18" s="20" t="str">
        <x:v>principal_par</x:v>
      </x:c>
      <x:c r="B18" s="20" t="str">
        <x:v>Position par / principal</x:v>
      </x:c>
      <x:c r="C18" s="20" t="str">
        <x:v>$mm</x:v>
      </x:c>
      <x:c r="D18" s="20" t="str">
        <x:v>Required</x:v>
      </x:c>
      <x:c r="E18" s="20" t="str"/>
      <x:c r="G18" s="60" t="str">
        <x:v>S13</x:v>
      </x:c>
      <x:c r="H18" s="60" t="str"/>
      <x:c r="I18" s="60" t="str"/>
      <x:c r="J18" s="60" t="str"/>
      <x:c r="K18" s="60" t="str"/>
      <x:c r="L18" s="60" t="str"/>
      <x:c r="M18" s="60" t="str"/>
      <x:c r="N18" s="60" t="str"/>
      <x:c r="O18" s="60" t="str"/>
      <x:c r="P18" s="60" t="str"/>
      <x:c r="Q18" s="62" t="str">
        <x:f>IF(OR(N18="",P18=""),"",ABS(N18-P18))</x:f>
      </x:c>
      <x:c r="R18" s="62" t="str">
        <x:f>IF(OR(O18="",P18=""),"",ABS(O18-P18))</x:f>
      </x:c>
      <x:c r="S18" s="64" t="str">
        <x:f>IF(OR(Q18="",R18="",Q18=0),"",1-R18/Q18)</x:f>
      </x:c>
    </x:row>
    <x:row r="19">
      <x:c r="A19" s="20" t="str">
        <x:v>cost</x:v>
      </x:c>
      <x:c r="B19" s="20" t="str">
        <x:v>Position cost</x:v>
      </x:c>
      <x:c r="C19" s="20" t="str">
        <x:v>$mm</x:v>
      </x:c>
      <x:c r="D19" s="20" t="str">
        <x:v>Required</x:v>
      </x:c>
      <x:c r="E19" s="20" t="str"/>
      <x:c r="G19" s="60" t="str">
        <x:v>S14</x:v>
      </x:c>
      <x:c r="H19" s="60" t="str"/>
      <x:c r="I19" s="60" t="str"/>
      <x:c r="J19" s="60" t="str"/>
      <x:c r="K19" s="60" t="str"/>
      <x:c r="L19" s="60" t="str"/>
      <x:c r="M19" s="60" t="str"/>
      <x:c r="N19" s="60" t="str"/>
      <x:c r="O19" s="60" t="str"/>
      <x:c r="P19" s="60" t="str"/>
      <x:c r="Q19" s="62" t="str">
        <x:f>IF(OR(N19="",P19=""),"",ABS(N19-P19))</x:f>
      </x:c>
      <x:c r="R19" s="62" t="str">
        <x:f>IF(OR(O19="",P19=""),"",ABS(O19-P19))</x:f>
      </x:c>
      <x:c r="S19" s="64" t="str">
        <x:f>IF(OR(Q19="",R19="",Q19=0),"",1-R19/Q19)</x:f>
      </x:c>
    </x:row>
    <x:row r="20">
      <x:c r="A20" s="20" t="str">
        <x:v>fair_value</x:v>
      </x:c>
      <x:c r="B20" s="20" t="str">
        <x:v>Position fair value</x:v>
      </x:c>
      <x:c r="C20" s="20" t="str">
        <x:v>$mm</x:v>
      </x:c>
      <x:c r="D20" s="20" t="str">
        <x:v>Required</x:v>
      </x:c>
      <x:c r="E20" s="20" t="str"/>
      <x:c r="G20" s="60" t="str">
        <x:v>S15</x:v>
      </x:c>
      <x:c r="H20" s="60" t="str"/>
      <x:c r="I20" s="60" t="str"/>
      <x:c r="J20" s="60" t="str"/>
      <x:c r="K20" s="60" t="str"/>
      <x:c r="L20" s="60" t="str"/>
      <x:c r="M20" s="60" t="str"/>
      <x:c r="N20" s="60" t="str"/>
      <x:c r="O20" s="60" t="str"/>
      <x:c r="P20" s="60" t="str"/>
      <x:c r="Q20" s="62" t="str">
        <x:f>IF(OR(N20="",P20=""),"",ABS(N20-P20))</x:f>
      </x:c>
      <x:c r="R20" s="62" t="str">
        <x:f>IF(OR(O20="",P20=""),"",ABS(O20-P20))</x:f>
      </x:c>
      <x:c r="S20" s="64" t="str">
        <x:f>IF(OR(Q20="",R20="",Q20=0),"",1-R20/Q20)</x:f>
      </x:c>
    </x:row>
    <x:row r="21">
      <x:c r="A21" s="20" t="str">
        <x:v>mark_fv_par</x:v>
      </x:c>
      <x:c r="B21" s="20" t="str">
        <x:v>Fair value / par</x:v>
      </x:c>
      <x:c r="C21" s="20" t="str">
        <x:v>Formula</x:v>
      </x:c>
      <x:c r="D21" s="20" t="str">
        <x:v>Primary outcome</x:v>
      </x:c>
      <x:c r="E21" s="20" t="str"/>
      <x:c r="G21" s="60" t="str">
        <x:v>S16</x:v>
      </x:c>
      <x:c r="H21" s="60" t="str"/>
      <x:c r="I21" s="60" t="str"/>
      <x:c r="J21" s="60" t="str"/>
      <x:c r="K21" s="60" t="str"/>
      <x:c r="L21" s="60" t="str"/>
      <x:c r="M21" s="60" t="str"/>
      <x:c r="N21" s="60" t="str"/>
      <x:c r="O21" s="60" t="str"/>
      <x:c r="P21" s="60" t="str"/>
      <x:c r="Q21" s="62" t="str">
        <x:f>IF(OR(N21="",P21=""),"",ABS(N21-P21))</x:f>
      </x:c>
      <x:c r="R21" s="62" t="str">
        <x:f>IF(OR(O21="",P21=""),"",ABS(O21-P21))</x:f>
      </x:c>
      <x:c r="S21" s="64" t="str">
        <x:f>IF(OR(Q21="",R21="",Q21=0),"",1-R21/Q21)</x:f>
      </x:c>
    </x:row>
    <x:row r="22">
      <x:c r="A22" s="20" t="str">
        <x:v>entry_component</x:v>
      </x:c>
      <x:c r="B22" s="20" t="str">
        <x:v>Cost / par − 1</x:v>
      </x:c>
      <x:c r="C22" s="20" t="str">
        <x:v>Formula</x:v>
      </x:c>
      <x:c r="D22" s="20" t="str">
        <x:v>Control</x:v>
      </x:c>
      <x:c r="E22" s="20" t="str"/>
      <x:c r="G22" s="60" t="str">
        <x:v>S17</x:v>
      </x:c>
      <x:c r="H22" s="60" t="str"/>
      <x:c r="I22" s="60" t="str"/>
      <x:c r="J22" s="60" t="str"/>
      <x:c r="K22" s="60" t="str"/>
      <x:c r="L22" s="60" t="str"/>
      <x:c r="M22" s="60" t="str"/>
      <x:c r="N22" s="60" t="str"/>
      <x:c r="O22" s="60" t="str"/>
      <x:c r="P22" s="60" t="str"/>
      <x:c r="Q22" s="62" t="str">
        <x:f>IF(OR(N22="",P22=""),"",ABS(N22-P22))</x:f>
      </x:c>
      <x:c r="R22" s="62" t="str">
        <x:f>IF(OR(O22="",P22=""),"",ABS(O22-P22))</x:f>
      </x:c>
      <x:c r="S22" s="64" t="str">
        <x:f>IF(OR(Q22="",R22="",Q22=0),"",1-R22/Q22)</x:f>
      </x:c>
    </x:row>
    <x:row r="23">
      <x:c r="A23" s="20" t="str">
        <x:v>post_entry_component</x:v>
      </x:c>
      <x:c r="B23" s="20" t="str">
        <x:v>(FV − cost) / par</x:v>
      </x:c>
      <x:c r="C23" s="20" t="str">
        <x:v>Formula</x:v>
      </x:c>
      <x:c r="D23" s="20" t="str">
        <x:v>Control</x:v>
      </x:c>
      <x:c r="E23" s="20" t="str"/>
      <x:c r="G23" s="60" t="str">
        <x:v>S18</x:v>
      </x:c>
      <x:c r="H23" s="60" t="str"/>
      <x:c r="I23" s="60" t="str"/>
      <x:c r="J23" s="60" t="str"/>
      <x:c r="K23" s="60" t="str"/>
      <x:c r="L23" s="60" t="str"/>
      <x:c r="M23" s="60" t="str"/>
      <x:c r="N23" s="60" t="str"/>
      <x:c r="O23" s="60" t="str"/>
      <x:c r="P23" s="60" t="str"/>
      <x:c r="Q23" s="62" t="str">
        <x:f>IF(OR(N23="",P23=""),"",ABS(N23-P23))</x:f>
      </x:c>
      <x:c r="R23" s="62" t="str">
        <x:f>IF(OR(O23="",P23=""),"",ABS(O23-P23))</x:f>
      </x:c>
      <x:c r="S23" s="64" t="str">
        <x:f>IF(OR(Q23="",R23="",Q23=0),"",1-R23/Q23)</x:f>
      </x:c>
    </x:row>
    <x:row r="24">
      <x:c r="A24" s="20" t="str">
        <x:v>PIK_flag</x:v>
      </x:c>
      <x:c r="B24" s="20" t="str">
        <x:v>Payment-in-kind indicator</x:v>
      </x:c>
      <x:c r="C24" s="20" t="str">
        <x:v>Boolean</x:v>
      </x:c>
      <x:c r="D24" s="20" t="str">
        <x:v>Primary H1b</x:v>
      </x:c>
      <x:c r="E24" s="20" t="str"/>
      <x:c r="G24" s="60" t="str">
        <x:v>S19</x:v>
      </x:c>
      <x:c r="H24" s="60" t="str"/>
      <x:c r="I24" s="60" t="str"/>
      <x:c r="J24" s="60" t="str"/>
      <x:c r="K24" s="60" t="str"/>
      <x:c r="L24" s="60" t="str"/>
      <x:c r="M24" s="60" t="str"/>
      <x:c r="N24" s="60" t="str"/>
      <x:c r="O24" s="60" t="str"/>
      <x:c r="P24" s="60" t="str"/>
      <x:c r="Q24" s="62" t="str">
        <x:f>IF(OR(N24="",P24=""),"",ABS(N24-P24))</x:f>
      </x:c>
      <x:c r="R24" s="62" t="str">
        <x:f>IF(OR(O24="",P24=""),"",ABS(O24-P24))</x:f>
      </x:c>
      <x:c r="S24" s="64" t="str">
        <x:f>IF(OR(Q24="",R24="",Q24=0),"",1-R24/Q24)</x:f>
      </x:c>
    </x:row>
    <x:row r="25">
      <x:c r="A25" s="20" t="str">
        <x:v>non_accrual_flag</x:v>
      </x:c>
      <x:c r="B25" s="20" t="str">
        <x:v>Non-accrual indicator</x:v>
      </x:c>
      <x:c r="C25" s="20" t="str">
        <x:v>Boolean</x:v>
      </x:c>
      <x:c r="D25" s="20" t="str">
        <x:v>Primary H1b</x:v>
      </x:c>
      <x:c r="E25" s="20" t="str"/>
      <x:c r="G25" s="60" t="str">
        <x:v>S20</x:v>
      </x:c>
      <x:c r="H25" s="60" t="str"/>
      <x:c r="I25" s="60" t="str"/>
      <x:c r="J25" s="60" t="str"/>
      <x:c r="K25" s="60" t="str"/>
      <x:c r="L25" s="60" t="str"/>
      <x:c r="M25" s="60" t="str"/>
      <x:c r="N25" s="60" t="str"/>
      <x:c r="O25" s="60" t="str"/>
      <x:c r="P25" s="60" t="str"/>
      <x:c r="Q25" s="62" t="str">
        <x:f>IF(OR(N25="",P25=""),"",ABS(N25-P25))</x:f>
      </x:c>
      <x:c r="R25" s="62" t="str">
        <x:f>IF(OR(O25="",P25=""),"",ABS(O25-P25))</x:f>
      </x:c>
      <x:c r="S25" s="64" t="str">
        <x:f>IF(OR(Q25="",R25="",Q25=0),"",1-R25/Q25)</x:f>
      </x:c>
    </x:row>
    <x:row r="26">
      <x:c r="A26" s="20" t="str">
        <x:v>restructuring_flag</x:v>
      </x:c>
      <x:c r="B26" s="20" t="str">
        <x:v>Amendment / restructuring / debt-for-equity</x:v>
      </x:c>
      <x:c r="C26" s="20" t="str">
        <x:v>Boolean</x:v>
      </x:c>
      <x:c r="D26" s="20" t="str">
        <x:v>Secondary</x:v>
      </x:c>
      <x:c r="E26" s="20" t="str"/>
    </x:row>
    <x:row r="27">
      <x:c r="A27" s="20" t="str">
        <x:v>position_persistence</x:v>
      </x:c>
      <x:c r="B27" s="20" t="str">
        <x:v>Probability target still holds position</x:v>
      </x:c>
      <x:c r="C27" s="20" t="str">
        <x:v>Probability</x:v>
      </x:c>
      <x:c r="D27" s="20" t="str">
        <x:v>Required for live</x:v>
      </x:c>
      <x:c r="E27" s="20" t="str"/>
    </x:row>
    <x:row r="28">
      <x:c r="A28" s="20" t="str">
        <x:v>common_manager</x:v>
      </x:c>
      <x:c r="B28" s="20" t="str">
        <x:v>Same adviser / co-investment platform</x:v>
      </x:c>
      <x:c r="C28" s="20" t="str">
        <x:v>Boolean</x:v>
      </x:c>
      <x:c r="D28" s="20" t="str">
        <x:v>Control</x:v>
      </x:c>
      <x:c r="E28" s="20" t="str"/>
    </x:row>
    <x:row r="29">
      <x:c r="A29" s="20" t="str">
        <x:v>common_appraiser</x:v>
      </x:c>
      <x:c r="B29" s="20" t="str">
        <x:v>Same valuation firm if disclosed</x:v>
      </x:c>
      <x:c r="C29" s="20" t="str">
        <x:v>Boolean</x:v>
      </x:c>
      <x:c r="D29" s="20" t="str">
        <x:v>Control / research angle</x:v>
      </x:c>
      <x:c r="E29" s="20" t="str"/>
    </x:row>
    <x:row r="30">
      <x:c r="A30" s="20" t="str">
        <x:v>exact_match_confidence</x:v>
      </x:c>
      <x:c r="B30" s="20" t="str">
        <x:v>P(same facility)</x:v>
      </x:c>
      <x:c r="C30" s="20" t="str">
        <x:v>Probability</x:v>
      </x:c>
      <x:c r="D30" s="20" t="str">
        <x:v>Gate ≥95% precision</x:v>
      </x:c>
      <x:c r="E30" s="20" t="str"/>
    </x:row>
    <x:row r="31">
      <x:c r="A31" s="20" t="str">
        <x:v>baseline_target_mark</x:v>
      </x:c>
      <x:c r="B31" s="20" t="str">
        <x:v>Last target mark or median already-filed co-holders</x:v>
      </x:c>
      <x:c r="C31" s="20" t="str">
        <x:v>Numeric</x:v>
      </x:c>
      <x:c r="D31" s="20" t="str">
        <x:v>Required</x:v>
      </x:c>
      <x:c r="E31" s="20" t="str"/>
    </x:row>
    <x:row r="32">
      <x:c r="A32" s="20" t="str">
        <x:v>predicted_target_mark</x:v>
      </x:c>
      <x:c r="B32" s="20" t="str">
        <x:v>Nowcast</x:v>
      </x:c>
      <x:c r="C32" s="20" t="str">
        <x:v>Numeric</x:v>
      </x:c>
      <x:c r="D32" s="20" t="str">
        <x:v>Required</x:v>
      </x:c>
      <x:c r="E32" s="20" t="str"/>
    </x:row>
    <x:row r="33">
      <x:c r="A33" s="20" t="str">
        <x:v>actual_target_mark</x:v>
      </x:c>
      <x:c r="B33" s="20" t="str">
        <x:v>Later published ground truth</x:v>
      </x:c>
      <x:c r="C33" s="20" t="str">
        <x:v>Numeric</x:v>
      </x:c>
      <x:c r="D33" s="20" t="str">
        <x:v>Required</x:v>
      </x:c>
      <x:c r="E33" s="20" t="str"/>
    </x:row>
    <x:row r="34">
      <x:c r="A34" s="20" t="str">
        <x:v>absolute_error</x:v>
      </x:c>
      <x:c r="B34" s="20" t="str">
        <x:v>ABS(predicted−actual)</x:v>
      </x:c>
      <x:c r="C34" s="20" t="str">
        <x:v>Formula</x:v>
      </x:c>
      <x:c r="D34" s="20" t="str">
        <x:v>Metric</x:v>
      </x:c>
      <x:c r="E34" s="20" t="str"/>
    </x:row>
    <x:row r="35">
      <x:c r="A35" s="20" t="str">
        <x:v>evidence_urls</x:v>
      </x:c>
      <x:c r="B35" s="20" t="str">
        <x:v>Source and target filing links</x:v>
      </x:c>
      <x:c r="C35" s="20" t="str">
        <x:v>URL</x:v>
      </x:c>
      <x:c r="D35" s="20" t="str">
        <x:v>Required</x:v>
      </x:c>
      <x:c r="E35" s="20" t="str"/>
    </x:row>
  </x:sheetData>
  <x:mergeCells>
    <x:mergeCell ref="A1:J1"/>
    <x:mergeCell ref="A2:J2"/>
    <x:mergeCell ref="G4:P4"/>
  </x:mergeCells>
  <x:pageMargins left="0.7" right="0.7" top="0.75" bottom="0.75" header="0.3" footer="0.3"/>
  <x:tableParts count="1">
    <x:tablePart xmlns:r="http://schemas.openxmlformats.org/officeDocument/2006/relationships" r:id="R635147d068ab4f26"/>
  </x:tableParts>
</x:worksheet>
</file>

<file path=xl/worksheets/sheet9.xml><?xml version="1.0" encoding="utf-8"?>
<x:worksheet xmlns:x="http://schemas.openxmlformats.org/spreadsheetml/2006/main">
  <x:sheetFormatPr defaultRowHeight="15"/>
  <x:cols>
    <x:col min="1" max="1" width="24" hidden="0" customWidth="1"/>
    <x:col min="2" max="2" width="76" hidden="0" customWidth="1"/>
    <x:col min="3" max="3" width="14" hidden="0" customWidth="1"/>
    <x:col min="4" max="4" width="55" hidden="0" customWidth="1"/>
    <x:col min="5" max="5" width="16" hidden="0" customWidth="1"/>
    <x:col min="6" max="6" width="55" hidden="0" customWidth="1"/>
  </x:cols>
  <x:sheetData>
    <x:row r="1">
      <x:c r="A1" s="15" t="str">
        <x:v>Japan Language Wall Day 1 — исторический архив TDnet</x:v>
      </x:c>
      <x:c r="B1" s="15"/>
      <x:c r="C1" s="15"/>
      <x:c r="D1" s="15"/>
      <x:c r="E1" s="15"/>
      <x:c r="F1" s="15"/>
    </x:row>
    <x:row r="2">
      <x:c r="A2" s="24" t="str">
        <x:v>Reconciled Day 1 result: Yanoshin historical INDEX is alive for tested 2023–2025 periods, but all tested old PDF/XBRL links resolved to 404. Index counts/titles are usable; underlying documents are not yet recovered.</x:v>
      </x:c>
      <x:c r="B2" s="24"/>
      <x:c r="C2" s="24"/>
      <x:c r="D2" s="24"/>
      <x:c r="E2" s="24"/>
      <x:c r="F2" s="24"/>
    </x:row>
    <x:row r="4">
      <x:c r="A4" s="6" t="str">
        <x:v>Test date</x:v>
      </x:c>
      <x:c r="B4" s="6" t="str">
        <x:v>Accessible?</x:v>
      </x:c>
      <x:c r="C4" s="6" t="str">
        <x:v>Reported items</x:v>
      </x:c>
      <x:c r="D4" s="6" t="str">
        <x:v>Finding</x:v>
      </x:c>
      <x:c r="E4" s="6" t="str">
        <x:v>Source type</x:v>
      </x:c>
      <x:c r="F4" s="6" t="str">
        <x:v>URL</x:v>
      </x:c>
    </x:row>
    <x:row r="5">
      <x:c r="A5" s="40" t="n">
        <x:v>45272</x:v>
      </x:c>
      <x:c r="B5" s="20" t="str">
        <x:v>Да</x:v>
      </x:c>
      <x:c r="C5" s="41" t="n">
        <x:v>144</x:v>
      </x:c>
      <x:c r="D5" s="20" t="str">
        <x:v>Historical index opens. CORRECTION: tested old PDF/XBRL links return 404; documents are not confirmed available.</x:v>
      </x:c>
      <x:c r="E5" s="20" t="str">
        <x:v>Unofficial</x:v>
      </x:c>
      <x:c r="F5" s="20" t="str">
        <x:v>https://webapi.yanoshin.jp/webapi/tdnet/list/20231212.html</x:v>
      </x:c>
    </x:row>
    <x:row r="6">
      <x:c r="A6" s="40" t="n">
        <x:v>45306</x:v>
      </x:c>
      <x:c r="B6" s="20" t="str">
        <x:v>Да</x:v>
      </x:c>
      <x:c r="C6" s="41" t="n">
        <x:v>300</x:v>
      </x:c>
      <x:c r="D6" s="20" t="str">
        <x:v>Историческая дата открывается</x:v>
      </x:c>
      <x:c r="E6" s="20" t="str">
        <x:v>Unofficial</x:v>
      </x:c>
      <x:c r="F6" s="20" t="str">
        <x:v>https://webapi.yanoshin.jp/webapi/tdnet/list/20240115.html</x:v>
      </x:c>
    </x:row>
    <x:row r="7">
      <x:c r="A7" s="40" t="n">
        <x:v>45383</x:v>
      </x:c>
      <x:c r="B7" s="20" t="str">
        <x:v>Да</x:v>
      </x:c>
      <x:c r="C7" s="41" t="n">
        <x:v>300</x:v>
      </x:c>
      <x:c r="D7" s="20" t="str">
        <x:v>Историческая дата открывается</x:v>
      </x:c>
      <x:c r="E7" s="20" t="str">
        <x:v>Unofficial</x:v>
      </x:c>
      <x:c r="F7" s="20" t="str">
        <x:v>https://webapi.yanoshin.jp/webapi/tdnet/list/20240401.html</x:v>
      </x:c>
    </x:row>
    <x:row r="8">
      <x:c r="A8" s="40" t="n">
        <x:v>45476</x:v>
      </x:c>
      <x:c r="B8" s="20" t="str">
        <x:v>Да</x:v>
      </x:c>
      <x:c r="C8" s="41"/>
      <x:c r="D8" s="20" t="str">
        <x:v>Историческая дата открывается; count не зафиксирован в Day 1</x:v>
      </x:c>
      <x:c r="E8" s="20" t="str">
        <x:v>Unofficial</x:v>
      </x:c>
      <x:c r="F8" s="20" t="str">
        <x:v>https://webapi.yanoshin.jp/webapi/tdnet/list/20240703.html</x:v>
      </x:c>
    </x:row>
    <x:row r="9">
      <x:c r="A9" s="40" t="n">
        <x:v>45638</x:v>
      </x:c>
      <x:c r="B9" s="20" t="str">
        <x:v>Да</x:v>
      </x:c>
      <x:c r="C9" s="41"/>
      <x:c r="D9" s="20" t="str">
        <x:v>Историческая дата открывается; count не зафиксирован в Day 1</x:v>
      </x:c>
      <x:c r="E9" s="20" t="str">
        <x:v>Unofficial</x:v>
      </x:c>
      <x:c r="F9" s="20" t="str">
        <x:v>https://webapi.yanoshin.jp/webapi/tdnet/list/20241212.html</x:v>
      </x:c>
    </x:row>
    <x:row r="10">
      <x:c r="A10" s="40" t="n">
        <x:v>45672</x:v>
      </x:c>
      <x:c r="B10" s="20" t="str">
        <x:v>Да</x:v>
      </x:c>
      <x:c r="C10" s="41" t="n">
        <x:v>180</x:v>
      </x:c>
      <x:c r="D10" s="20" t="str">
        <x:v>Историческая дата открывается</x:v>
      </x:c>
      <x:c r="E10" s="20" t="str">
        <x:v>Unofficial</x:v>
      </x:c>
      <x:c r="F10" s="20" t="str">
        <x:v>https://webapi.yanoshin.jp/webapi/tdnet/list/20250115.html</x:v>
      </x:c>
    </x:row>
    <x:row r="11">
      <x:c r="A11" s="40" t="n">
        <x:v>46246</x:v>
      </x:c>
      <x:c r="B11" s="20" t="str">
        <x:v>Да</x:v>
      </x:c>
      <x:c r="C11" s="41"/>
      <x:c r="D11" s="20" t="str">
        <x:v>Текущий/недавний поток доступен; для free J-Quants цены будут с лагом</x:v>
      </x:c>
      <x:c r="E11" s="20" t="str">
        <x:v>Unofficial</x:v>
      </x:c>
      <x:c r="F11" s="20" t="str">
        <x:v>https://webapi.yanoshin.jp/webapi/tdnet/list/recent.html</x:v>
      </x:c>
    </x:row>
    <x:row r="14">
      <x:c r="A14" s="47" t="str">
        <x:v>Подтверждённые правила / ограничения</x:v>
      </x:c>
      <x:c r="B14" s="47"/>
      <x:c r="C14" s="47"/>
      <x:c r="D14" s="47"/>
      <x:c r="E14" s="47"/>
      <x:c r="F14" s="47"/>
    </x:row>
    <x:row r="15">
      <x:c r="A15" s="6" t="str">
        <x:v>Item</x:v>
      </x:c>
      <x:c r="B15" s="6" t="str">
        <x:v>Day 1 conclusion</x:v>
      </x:c>
      <x:c r="C15" s="6" t="str">
        <x:v>Status</x:v>
      </x:c>
      <x:c r="D15" s="6" t="str">
        <x:v>URL</x:v>
      </x:c>
    </x:row>
    <x:row r="16">
      <x:c r="A16" s="20" t="str">
        <x:v>Prime English mandate</x:v>
      </x:c>
      <x:c r="B16" s="20" t="str">
        <x:v>С апреля 2025 domestic Prime companies обязаны одновременно раскрывать financial results и timely disclosures на японском и английском.</x:v>
      </x:c>
      <x:c r="C16" s="20" t="str">
        <x:v>Confirmed</x:v>
      </x:c>
      <x:c r="D16" s="20" t="str">
        <x:v>https://www.jpx.co.jp/english/equities/listed-co/disclosure-gate/service/</x:v>
      </x:c>
    </x:row>
    <x:row r="17">
      <x:c r="A17" s="20" t="str">
        <x:v>Treatment is not binary</x:v>
      </x:c>
      <x:c r="B17" s="20" t="str">
        <x:v>Допустим summary/excerpt; есть grace period и срочные исключения. Нужна event-level treatment intensity.</x:v>
      </x:c>
      <x:c r="C17" s="20" t="str">
        <x:v>Confirmed</x:v>
      </x:c>
      <x:c r="D17" s="20" t="str">
        <x:v>https://www.jpx.co.jp/english/rules-participants/public-comment/detail/d1/u5j7e500000029h8-att/u5j7e500000029jd.pdf</x:v>
      </x:c>
    </x:row>
    <x:row r="18">
      <x:c r="A18" s="20" t="str">
        <x:v>Official free archive</x:v>
      </x:c>
      <x:c r="B18" s="20" t="str">
        <x:v>Company Announcements Service обычно хранит публичные документы около месяца.</x:v>
      </x:c>
      <x:c r="C18" s="20" t="str">
        <x:v>Confirmed</x:v>
      </x:c>
      <x:c r="D18" s="20" t="str">
        <x:v>https://www.jpx.co.jp/english/listing/disclosure/index.html</x:v>
      </x:c>
    </x:row>
    <x:row r="19">
      <x:c r="A19" s="20" t="str">
        <x:v>Official paid archive</x:v>
      </x:c>
      <x:c r="B19" s="20" t="str">
        <x:v>TDnet API/DBS предоставляет 5 лет истории подписчикам.</x:v>
      </x:c>
      <x:c r="C19" s="20" t="str">
        <x:v>Confirmed</x:v>
      </x:c>
      <x:c r="D19" s="20" t="str">
        <x:v>https://www.jpx.co.jp/english/markets/paid-info-listing/tdnet/02.html</x:v>
      </x:c>
    </x:row>
    <x:row r="20">
      <x:c r="A20" s="20" t="str">
        <x:v>Free price data</x:v>
      </x:c>
      <x:c r="B20" s="20" t="str">
        <x:v>J-Quants Free: daily OHLC, 2 years excluding latest 12 weeks; 5 calls/min.</x:v>
      </x:c>
      <x:c r="C20" s="20" t="str">
        <x:v>Confirmed</x:v>
      </x:c>
      <x:c r="D20" s="20" t="str">
        <x:v>https://jpx-jquants.com/en</x:v>
      </x:c>
    </x:row>
    <x:row r="21">
      <x:c r="A21" s="20" t="str">
        <x:v>Historical event-time</x:v>
      </x:c>
      <x:c r="B21" s="20" t="str">
        <x:v>Daily T+1…T+10 можно тестировать на событиях старше 12 недель; intraday mechanism не измеряется бесплатно.</x:v>
      </x:c>
      <x:c r="C21" s="20" t="str">
        <x:v>Inference</x:v>
      </x:c>
      <x:c r="D21" s="20" t="str">
        <x:v>https://jpx-jquants.com/en</x:v>
      </x:c>
    </x:row>
  </x:sheetData>
  <x:mergeCells>
    <x:mergeCell ref="A1:F1"/>
    <x:mergeCell ref="A2:F2"/>
    <x:mergeCell ref="A14:F14"/>
  </x:mergeCells>
  <x:conditionalFormatting sqref="B5:B11">
    <x:cfRule type="expression" dxfId="5" priority="1">
      <x:formula>B5="Да"</x:formula>
    </x:cfRule>
  </x:conditionalFormatting>
  <x:pageMargins left="0.7" right="0.7" top="0.75" bottom="0.75" header="0.3" footer="0.3"/>
  <x:tableParts count="1">
    <x:tablePart xmlns:r="http://schemas.openxmlformats.org/officeDocument/2006/relationships" r:id="R8e953db76dc74597"/>
  </x:tableParts>
</x:worksheet>
</file>

<file path=xl/worksheets/sheet10.xml><?xml version="1.0" encoding="utf-8"?>
<x:worksheet xmlns:x="http://schemas.openxmlformats.org/spreadsheetml/2006/main">
  <x:sheetFormatPr defaultRowHeight="15"/>
  <x:cols>
    <x:col min="1" max="1" width="19" hidden="0" customWidth="1"/>
    <x:col min="2" max="2" width="10" hidden="0" customWidth="1"/>
    <x:col min="3" max="3" width="22" hidden="0" customWidth="1"/>
    <x:col min="4" max="4" width="24" hidden="0" customWidth="1"/>
    <x:col min="5" max="5" width="70" hidden="0" customWidth="1"/>
    <x:col min="6" max="6" width="26" hidden="0" customWidth="1"/>
    <x:col min="7" max="7" width="16" hidden="0" customWidth="1"/>
    <x:col min="8" max="8" width="16" hidden="0" customWidth="1"/>
    <x:col min="9" max="9" width="20" hidden="0" customWidth="1"/>
    <x:col min="10" max="10" width="55" hidden="0" customWidth="1"/>
  </x:cols>
  <x:sheetData>
    <x:row r="1">
      <x:c r="A1" s="15" t="str">
        <x:v>Japan Language Wall — стартовый sample forecast-revision events</x:v>
      </x:c>
      <x:c r="B1" s="15"/>
      <x:c r="C1" s="15"/>
      <x:c r="D1" s="15"/>
      <x:c r="E1" s="15"/>
      <x:c r="F1" s="15"/>
      <x:c r="G1" s="15"/>
      <x:c r="H1" s="15"/>
      <x:c r="I1" s="15"/>
      <x:c r="J1" s="15"/>
    </x:row>
    <x:row r="2">
      <x:c r="A2" s="24" t="str">
        <x:v>Это extraction seed, не статистическая выборка. Primary class = earnings forecast revisions. Market segment, English availability и old/new numbers пока намеренно оставлены Pending.</x:v>
      </x:c>
      <x:c r="B2" s="24"/>
      <x:c r="C2" s="24"/>
      <x:c r="D2" s="24"/>
      <x:c r="E2" s="24"/>
      <x:c r="F2" s="24"/>
      <x:c r="G2" s="24"/>
      <x:c r="H2" s="24"/>
      <x:c r="I2" s="24"/>
      <x:c r="J2" s="24"/>
    </x:row>
    <x:row r="4">
      <x:c r="A4" s="6" t="str">
        <x:v>Disclosure datetime JST</x:v>
      </x:c>
      <x:c r="B4" s="6" t="str">
        <x:v>Code</x:v>
      </x:c>
      <x:c r="C4" s="6" t="str">
        <x:v>Company raw</x:v>
      </x:c>
      <x:c r="D4" s="6" t="str">
        <x:v>Event class</x:v>
      </x:c>
      <x:c r="E4" s="6" t="str">
        <x:v>Japanese title</x:v>
      </x:c>
      <x:c r="F4" s="6" t="str">
        <x:v>Direction / note</x:v>
      </x:c>
      <x:c r="G4" s="6" t="str">
        <x:v>Market segment</x:v>
      </x:c>
      <x:c r="H4" s="6" t="str">
        <x:v>English status</x:v>
      </x:c>
      <x:c r="I4" s="6" t="str">
        <x:v>Old→new guidance extracted?</x:v>
      </x:c>
      <x:c r="J4" s="6" t="str">
        <x:v>Source URL</x:v>
      </x:c>
    </x:row>
    <x:row r="5">
      <x:c r="A5" s="68" t="n">
        <x:v>45272.99652777778</x:v>
      </x:c>
      <x:c r="B5" s="20" t="str">
        <x:v>69670</x:v>
      </x:c>
      <x:c r="C5" s="20" t="str">
        <x:v>新光電工</x:v>
      </x:c>
      <x:c r="D5" s="20" t="str">
        <x:v>Dividend forecast revision</x:v>
      </x:c>
      <x:c r="E5" s="20" t="str">
        <x:v>2024年3月期の期末配当予想の修正（無配）および株主優待制度の廃止に関するお知らせ</x:v>
      </x:c>
      <x:c r="F5" s="20" t="str">
        <x:v>Down / no dividend</x:v>
      </x:c>
      <x:c r="G5" s="56" t="str">
        <x:v>Pending</x:v>
      </x:c>
      <x:c r="H5" s="56" t="str">
        <x:v>Pending</x:v>
      </x:c>
      <x:c r="I5" s="56" t="str">
        <x:v>Pending</x:v>
      </x:c>
      <x:c r="J5" s="20" t="str">
        <x:v>https://webapi.yanoshin.jp/webapi/tdnet/list/20231212.html</x:v>
      </x:c>
    </x:row>
    <x:row r="6">
      <x:c r="A6" s="68" t="n">
        <x:v>45272.791666666664</x:v>
      </x:c>
      <x:c r="B6" s="20" t="str">
        <x:v>39760</x:v>
      </x:c>
      <x:c r="C6" s="20" t="str">
        <x:v>Ｇ－シャノン</x:v>
      </x:c>
      <x:c r="D6" s="20" t="str">
        <x:v>Actual vs forecast / tax asset</x:v>
      </x:c>
      <x:c r="E6" s="20" t="str">
        <x:v>繰延税金資産の取り崩し及び2023年10月期通期連結業績予想と実績値の差異に関するお知らせ</x:v>
      </x:c>
      <x:c r="F6" s="20" t="str">
        <x:v>Negative / actual difference</x:v>
      </x:c>
      <x:c r="G6" s="56" t="str">
        <x:v>Growth (title prefix)</x:v>
      </x:c>
      <x:c r="H6" s="56" t="str">
        <x:v>Pending</x:v>
      </x:c>
      <x:c r="I6" s="56" t="str">
        <x:v>Pending</x:v>
      </x:c>
      <x:c r="J6" s="20" t="str">
        <x:v>https://webapi.yanoshin.jp/webapi/tdnet/list/20231212.html</x:v>
      </x:c>
    </x:row>
    <x:row r="7">
      <x:c r="A7" s="68" t="n">
        <x:v>45272.645833333336</x:v>
      </x:c>
      <x:c r="B7" s="20" t="str">
        <x:v>22940</x:v>
      </x:c>
      <x:c r="C7" s="20" t="str">
        <x:v>柿安本店</x:v>
      </x:c>
      <x:c r="D7" s="20" t="str">
        <x:v>Forecast revision</x:v>
      </x:c>
      <x:c r="E7" s="20" t="str">
        <x:v>2024年4月期第2四半期の業績予想と実績値との差異及び通期の業績予想の修正に関するお知らせ</x:v>
      </x:c>
      <x:c r="F7" s="20" t="str">
        <x:v>Pending extraction</x:v>
      </x:c>
      <x:c r="G7" s="56" t="str">
        <x:v>Pending</x:v>
      </x:c>
      <x:c r="H7" s="56" t="str">
        <x:v>Pending</x:v>
      </x:c>
      <x:c r="I7" s="56" t="str">
        <x:v>Pending</x:v>
      </x:c>
      <x:c r="J7" s="20" t="str">
        <x:v>https://webapi.yanoshin.jp/webapi/tdnet/list/20231212.html</x:v>
      </x:c>
    </x:row>
    <x:row r="8">
      <x:c r="A8" s="68" t="n">
        <x:v>45272.645833333336</x:v>
      </x:c>
      <x:c r="B8" s="20" t="str">
        <x:v>36570</x:v>
      </x:c>
      <x:c r="C8" s="20" t="str">
        <x:v>ポールＨＤ</x:v>
      </x:c>
      <x:c r="D8" s="20" t="str">
        <x:v>Forecast revision</x:v>
      </x:c>
      <x:c r="E8" s="20" t="str">
        <x:v>通期連結業績予想の修正及び配当予想の据え置きに関するお知らせ</x:v>
      </x:c>
      <x:c r="F8" s="20" t="str">
        <x:v>Pending extraction</x:v>
      </x:c>
      <x:c r="G8" s="56" t="str">
        <x:v>Pending</x:v>
      </x:c>
      <x:c r="H8" s="56" t="str">
        <x:v>Pending</x:v>
      </x:c>
      <x:c r="I8" s="56" t="str">
        <x:v>Pending</x:v>
      </x:c>
      <x:c r="J8" s="20" t="str">
        <x:v>https://webapi.yanoshin.jp/webapi/tdnet/list/20231212.html</x:v>
      </x:c>
    </x:row>
    <x:row r="9">
      <x:c r="A9" s="68" t="n">
        <x:v>45272.625</x:v>
      </x:c>
      <x:c r="B9" s="20" t="str">
        <x:v>21730</x:v>
      </x:c>
      <x:c r="C9" s="20" t="str">
        <x:v>Ｇ－博展</x:v>
      </x:c>
      <x:c r="D9" s="20" t="str">
        <x:v>Forecast + dividend revision</x:v>
      </x:c>
      <x:c r="E9" s="20" t="str">
        <x:v>通期連結業績予想の修正（上方修正）および配当予想の修正（増配）に関するお知らせ</x:v>
      </x:c>
      <x:c r="F9" s="20" t="str">
        <x:v>Upward</x:v>
      </x:c>
      <x:c r="G9" s="56" t="str">
        <x:v>Growth (title prefix)</x:v>
      </x:c>
      <x:c r="H9" s="56" t="str">
        <x:v>Pending</x:v>
      </x:c>
      <x:c r="I9" s="56" t="str">
        <x:v>Pending</x:v>
      </x:c>
      <x:c r="J9" s="20" t="str">
        <x:v>https://webapi.yanoshin.jp/webapi/tdnet/list/20231212.html</x:v>
      </x:c>
    </x:row>
    <x:row r="10">
      <x:c r="A10" s="68" t="n">
        <x:v>45272.625</x:v>
      </x:c>
      <x:c r="B10" s="20" t="str">
        <x:v>73470</x:v>
      </x:c>
      <x:c r="C10" s="20" t="str">
        <x:v>マーキュリアＨＤ</x:v>
      </x:c>
      <x:c r="D10" s="20" t="str">
        <x:v>Forecast revision</x:v>
      </x:c>
      <x:c r="E10" s="20" t="str">
        <x:v>通期業績予想の修正及び配当予想の据え置きに関するお知らせ</x:v>
      </x:c>
      <x:c r="F10" s="20" t="str">
        <x:v>Pending extraction</x:v>
      </x:c>
      <x:c r="G10" s="56" t="str">
        <x:v>Pending</x:v>
      </x:c>
      <x:c r="H10" s="56" t="str">
        <x:v>Pending</x:v>
      </x:c>
      <x:c r="I10" s="56" t="str">
        <x:v>Pending</x:v>
      </x:c>
      <x:c r="J10" s="20" t="str">
        <x:v>https://webapi.yanoshin.jp/webapi/tdnet/list/20231212.html</x:v>
      </x:c>
    </x:row>
    <x:row r="11">
      <x:c r="A11" s="68" t="n">
        <x:v>45272.625</x:v>
      </x:c>
      <x:c r="B11" s="20" t="str">
        <x:v>74940</x:v>
      </x:c>
      <x:c r="C11" s="20" t="str">
        <x:v>コナカ</x:v>
      </x:c>
      <x:c r="D11" s="20" t="str">
        <x:v>Forecast revision</x:v>
      </x:c>
      <x:c r="E11" s="20" t="str">
        <x:v>2024年９月期連結業績予想の修正に関するお知らせ</x:v>
      </x:c>
      <x:c r="F11" s="20" t="str">
        <x:v>Pending extraction</x:v>
      </x:c>
      <x:c r="G11" s="56" t="str">
        <x:v>Pending</x:v>
      </x:c>
      <x:c r="H11" s="56" t="str">
        <x:v>Pending</x:v>
      </x:c>
      <x:c r="I11" s="56" t="str">
        <x:v>Pending</x:v>
      </x:c>
      <x:c r="J11" s="20" t="str">
        <x:v>https://webapi.yanoshin.jp/webapi/tdnet/list/20231212.html</x:v>
      </x:c>
    </x:row>
    <x:row r="12">
      <x:c r="A12" s="68" t="n">
        <x:v>45272.625</x:v>
      </x:c>
      <x:c r="B12" s="20" t="str">
        <x:v>75610</x:v>
      </x:c>
      <x:c r="C12" s="20" t="str">
        <x:v>ハークスレイ</x:v>
      </x:c>
      <x:c r="D12" s="20" t="str">
        <x:v>Forecast revision</x:v>
      </x:c>
      <x:c r="E12" s="20" t="str">
        <x:v>2024年３月期 通期連結業績予想の上方修正に関するお知らせ</x:v>
      </x:c>
      <x:c r="F12" s="20" t="str">
        <x:v>Upward</x:v>
      </x:c>
      <x:c r="G12" s="56" t="str">
        <x:v>Pending</x:v>
      </x:c>
      <x:c r="H12" s="56" t="str">
        <x:v>Pending</x:v>
      </x:c>
      <x:c r="I12" s="56" t="str">
        <x:v>Pending</x:v>
      </x:c>
      <x:c r="J12" s="20" t="str">
        <x:v>https://webapi.yanoshin.jp/webapi/tdnet/list/20231212.html</x:v>
      </x:c>
    </x:row>
    <x:row r="13">
      <x:c r="A13" s="68" t="n">
        <x:v>45272.625</x:v>
      </x:c>
      <x:c r="B13" s="20" t="str">
        <x:v>78290</x:v>
      </x:c>
      <x:c r="C13" s="20" t="str">
        <x:v>Ｇ－サマンサＪＰ</x:v>
      </x:c>
      <x:c r="D13" s="20" t="str">
        <x:v>Forecast revision</x:v>
      </x:c>
      <x:c r="E13" s="20" t="str">
        <x:v>通期連結業績予想の修正に関するお知らせ</x:v>
      </x:c>
      <x:c r="F13" s="20" t="str">
        <x:v>Pending extraction</x:v>
      </x:c>
      <x:c r="G13" s="56" t="str">
        <x:v>Growth (title prefix)</x:v>
      </x:c>
      <x:c r="H13" s="56" t="str">
        <x:v>Pending</x:v>
      </x:c>
      <x:c r="I13" s="56" t="str">
        <x:v>Pending</x:v>
      </x:c>
      <x:c r="J13" s="20" t="str">
        <x:v>https://webapi.yanoshin.jp/webapi/tdnet/list/20231212.html</x:v>
      </x:c>
    </x:row>
    <x:row r="14">
      <x:c r="A14" s="68" t="n">
        <x:v>45306.77777777778</x:v>
      </x:c>
      <x:c r="B14" s="20" t="str">
        <x:v>80700</x:v>
      </x:c>
      <x:c r="C14" s="20" t="str">
        <x:v>東京産</x:v>
      </x:c>
      <x:c r="D14" s="20" t="str">
        <x:v>Forecast withdrawn / actual difference</x:v>
      </x:c>
      <x:c r="E14" s="20" t="str">
        <x:v>特別損失の計上、2024年3月期第2四半期連結業績予想値と実績値との差異および通期連結業績予想の修正(取り下げ)に関するお知らせ</x:v>
      </x:c>
      <x:c r="F14" s="20" t="str">
        <x:v>Negative / withdrawn</x:v>
      </x:c>
      <x:c r="G14" s="56" t="str">
        <x:v>Pending</x:v>
      </x:c>
      <x:c r="H14" s="56" t="str">
        <x:v>Pending</x:v>
      </x:c>
      <x:c r="I14" s="56" t="str">
        <x:v>Pending</x:v>
      </x:c>
      <x:c r="J14" s="20" t="str">
        <x:v>https://webapi.yanoshin.jp/webapi/tdnet/list/20240115.html</x:v>
      </x:c>
    </x:row>
    <x:row r="15">
      <x:c r="A15" s="68" t="n">
        <x:v>45306.708333333336</x:v>
      </x:c>
      <x:c r="B15" s="20" t="str">
        <x:v>18870</x:v>
      </x:c>
      <x:c r="C15" s="20" t="str">
        <x:v>日本国土開発</x:v>
      </x:c>
      <x:c r="D15" s="20" t="str">
        <x:v>Forecast + dividend revision</x:v>
      </x:c>
      <x:c r="E15" s="20" t="str">
        <x:v>工事損失、法人税等調整額（益）の計上、2024年5月期 業績予想の修正、剰余金の配当（中間配当）、期末配当予想の修正、別途積立金の取り崩しに関するお知らせ</x:v>
      </x:c>
      <x:c r="F15" s="20" t="str">
        <x:v>Pending extraction</x:v>
      </x:c>
      <x:c r="G15" s="56" t="str">
        <x:v>Pending</x:v>
      </x:c>
      <x:c r="H15" s="56" t="str">
        <x:v>Pending</x:v>
      </x:c>
      <x:c r="I15" s="56" t="str">
        <x:v>Pending</x:v>
      </x:c>
      <x:c r="J15" s="20" t="str">
        <x:v>https://webapi.yanoshin.jp/webapi/tdnet/list/20240115.html</x:v>
      </x:c>
    </x:row>
    <x:row r="16">
      <x:c r="A16" s="68" t="n">
        <x:v>45672.756944444445</x:v>
      </x:c>
      <x:c r="B16" s="20" t="str">
        <x:v>81290</x:v>
      </x:c>
      <x:c r="C16" s="20" t="str">
        <x:v>東邦ＨＤ</x:v>
      </x:c>
      <x:c r="D16" s="20" t="str">
        <x:v>Forecast revision</x:v>
      </x:c>
      <x:c r="E16" s="20" t="str">
        <x:v>投資有価証券売却益（特別利益）の計上及び2025年３月期通期連結業績予想の修正に関するお知らせ</x:v>
      </x:c>
      <x:c r="F16" s="20" t="str">
        <x:v>Likely upward due special gain; verify</x:v>
      </x:c>
      <x:c r="G16" s="56" t="str">
        <x:v>Pending</x:v>
      </x:c>
      <x:c r="H16" s="56" t="str">
        <x:v>Pending</x:v>
      </x:c>
      <x:c r="I16" s="56" t="str">
        <x:v>Pending</x:v>
      </x:c>
      <x:c r="J16" s="20" t="str">
        <x:v>https://webapi.yanoshin.jp/webapi/tdnet/list/20250115.html</x:v>
      </x:c>
    </x:row>
    <x:row r="17">
      <x:c r="A17" s="68" t="n">
        <x:v>45672.708333333336</x:v>
      </x:c>
      <x:c r="B17" s="20" t="str">
        <x:v>55980</x:v>
      </x:c>
      <x:c r="C17" s="20" t="str">
        <x:v>Ｐ－Ｙｏｔｔａｖｉａ</x:v>
      </x:c>
      <x:c r="D17" s="20" t="str">
        <x:v>Forecast revision</x:v>
      </x:c>
      <x:c r="E17" s="20" t="str">
        <x:v>通期業績予想の修正に関するお知らせ</x:v>
      </x:c>
      <x:c r="F17" s="20" t="str">
        <x:v>Pending extraction</x:v>
      </x:c>
      <x:c r="G17" s="56" t="str">
        <x:v>TOKYO PRO (title prefix)</x:v>
      </x:c>
      <x:c r="H17" s="56" t="str">
        <x:v>Pending</x:v>
      </x:c>
      <x:c r="I17" s="56" t="str">
        <x:v>Pending</x:v>
      </x:c>
      <x:c r="J17" s="20" t="str">
        <x:v>https://webapi.yanoshin.jp/webapi/tdnet/list/20250115.html</x:v>
      </x:c>
    </x:row>
  </x:sheetData>
  <x:mergeCells>
    <x:mergeCell ref="A1:J1"/>
    <x:mergeCell ref="A2:J2"/>
  </x:mergeCells>
  <x:dataValidations count="3">
    <x:dataValidation type="list" sqref="G5:G17">
      <x:formula1>"Prime,Standard,Growth,TOKYO PRO,Other,Pending"</x:formula1>
    </x:dataValidation>
    <x:dataValidation type="list" sqref="H5:H17">
      <x:formula1>"Full,Summary,None,Delayed,Unknown,Pending"</x:formula1>
    </x:dataValidation>
    <x:dataValidation type="list" sqref="I5:I17">
      <x:formula1>"Yes,No,Pending"</x:formula1>
    </x:dataValidation>
  </x:dataValidations>
  <x:pageMargins left="0.7" right="0.7" top="0.75" bottom="0.75" header="0.3" footer="0.3"/>
  <x:tableParts count="1">
    <x:tablePart xmlns:r="http://schemas.openxmlformats.org/officeDocument/2006/relationships" r:id="R294cd54642ad4e54"/>
  </x:tableParts>
</x:worksheet>
</file>

<file path=xl/worksheets/sheet11.xml><?xml version="1.0" encoding="utf-8"?>
<x:worksheet xmlns:x="http://schemas.openxmlformats.org/spreadsheetml/2006/main">
  <x:sheetFormatPr defaultRowHeight="15"/>
  <x:cols>
    <x:col min="1" max="1" width="30" hidden="0" customWidth="1"/>
    <x:col min="2" max="2" width="58" hidden="0" customWidth="1"/>
    <x:col min="3" max="3" width="22" hidden="0" customWidth="1"/>
    <x:col min="4" max="4" width="28" hidden="0" customWidth="1"/>
  </x:cols>
  <x:sheetData>
    <x:row r="1">
      <x:c r="A1" s="15" t="str">
        <x:v>Japan Language Wall — event-level schema и treatment definition</x:v>
      </x:c>
      <x:c r="B1" s="15"/>
      <x:c r="C1" s="15"/>
      <x:c r="D1" s="15"/>
      <x:c r="E1" s="15"/>
    </x:row>
    <x:row r="2">
      <x:c r="A2" s="24" t="str">
        <x:v>Primary test нельзя сводить к Prime vs Standard. Нужны prior English behavior, actual JP/EN lag/scope, foreign ownership и matched event controls.</x:v>
      </x:c>
      <x:c r="B2" s="24"/>
      <x:c r="C2" s="24"/>
      <x:c r="D2" s="24"/>
      <x:c r="E2" s="24"/>
    </x:row>
    <x:row r="4">
      <x:c r="A4" s="6" t="str">
        <x:v>Field</x:v>
      </x:c>
      <x:c r="B4" s="6" t="str">
        <x:v>Meaning</x:v>
      </x:c>
      <x:c r="C4" s="6" t="str">
        <x:v>Type / Unit</x:v>
      </x:c>
      <x:c r="D4" s="6" t="str">
        <x:v>Role</x:v>
      </x:c>
    </x:row>
    <x:row r="5">
      <x:c r="A5" s="20" t="str">
        <x:v>event_id</x:v>
      </x:c>
      <x:c r="B5" s="20" t="str">
        <x:v>code + disclosure timestamp + event class</x:v>
      </x:c>
      <x:c r="C5" s="20" t="str">
        <x:v>Text</x:v>
      </x:c>
      <x:c r="D5" s="20" t="str">
        <x:v>Required</x:v>
      </x:c>
    </x:row>
    <x:row r="6">
      <x:c r="A6" s="20" t="str">
        <x:v>company_code</x:v>
      </x:c>
      <x:c r="B6" s="20" t="str">
        <x:v>JPX/J-Quants security code</x:v>
      </x:c>
      <x:c r="C6" s="20" t="str">
        <x:v>Text</x:v>
      </x:c>
      <x:c r="D6" s="20" t="str">
        <x:v>Required</x:v>
      </x:c>
    </x:row>
    <x:row r="7">
      <x:c r="A7" s="20" t="str">
        <x:v>market_segment</x:v>
      </x:c>
      <x:c r="B7" s="20" t="str">
        <x:v>Prime / Standard / Growth / other</x:v>
      </x:c>
      <x:c r="C7" s="20" t="str">
        <x:v>Category</x:v>
      </x:c>
      <x:c r="D7" s="20" t="str">
        <x:v>Required</x:v>
      </x:c>
    </x:row>
    <x:row r="8">
      <x:c r="A8" s="20" t="str">
        <x:v>foreign_ownership_pct</x:v>
      </x:c>
      <x:c r="B8" s="20" t="str">
        <x:v>Foreign ownership before event</x:v>
      </x:c>
      <x:c r="C8" s="20" t="str">
        <x:v>%</x:v>
      </x:c>
      <x:c r="D8" s="20" t="str">
        <x:v>Mechanism test</x:v>
      </x:c>
    </x:row>
    <x:row r="9">
      <x:c r="A9" s="20" t="str">
        <x:v>disclosure_dt_jst</x:v>
      </x:c>
      <x:c r="B9" s="20" t="str">
        <x:v>Japanese disclosure timestamp</x:v>
      </x:c>
      <x:c r="C9" s="20" t="str">
        <x:v>Datetime</x:v>
      </x:c>
      <x:c r="D9" s="20" t="str">
        <x:v>Required</x:v>
      </x:c>
    </x:row>
    <x:row r="10">
      <x:c r="A10" s="20" t="str">
        <x:v>jp_document_url</x:v>
      </x:c>
      <x:c r="B10" s="20" t="str">
        <x:v>Original document</x:v>
      </x:c>
      <x:c r="C10" s="20" t="str">
        <x:v>URL</x:v>
      </x:c>
      <x:c r="D10" s="20" t="str">
        <x:v>Required</x:v>
      </x:c>
    </x:row>
    <x:row r="11">
      <x:c r="A11" s="20" t="str">
        <x:v>en_document_url</x:v>
      </x:c>
      <x:c r="B11" s="20" t="str">
        <x:v>English document if present</x:v>
      </x:c>
      <x:c r="C11" s="20" t="str">
        <x:v>URL</x:v>
      </x:c>
      <x:c r="D11" s="20" t="str">
        <x:v>Required</x:v>
      </x:c>
    </x:row>
    <x:row r="12">
      <x:c r="A12" s="20" t="str">
        <x:v>english_disclosure_dt_jst</x:v>
      </x:c>
      <x:c r="B12" s="20" t="str">
        <x:v>English disclosure timestamp</x:v>
      </x:c>
      <x:c r="C12" s="20" t="str">
        <x:v>Datetime</x:v>
      </x:c>
      <x:c r="D12" s="20" t="str">
        <x:v>Required</x:v>
      </x:c>
    </x:row>
    <x:row r="13">
      <x:c r="A13" s="20" t="str">
        <x:v>english_scope</x:v>
      </x:c>
      <x:c r="B13" s="20" t="str">
        <x:v>Full / summary / none</x:v>
      </x:c>
      <x:c r="C13" s="20" t="str">
        <x:v>Category</x:v>
      </x:c>
      <x:c r="D13" s="20" t="str">
        <x:v>Treatment intensity</x:v>
      </x:c>
    </x:row>
    <x:row r="14">
      <x:c r="A14" s="20" t="str">
        <x:v>english_lag_minutes</x:v>
      </x:c>
      <x:c r="B14" s="20" t="str">
        <x:v>EN timestamp − JP timestamp</x:v>
      </x:c>
      <x:c r="C14" s="20" t="str">
        <x:v>Formula</x:v>
      </x:c>
      <x:c r="D14" s="20" t="str">
        <x:v>Treatment intensity</x:v>
      </x:c>
    </x:row>
    <x:row r="15">
      <x:c r="A15" s="20" t="str">
        <x:v>pre_apr2025_english_behavior</x:v>
      </x:c>
      <x:c r="B15" s="20" t="str">
        <x:v>Already simultaneous / delayed / none</x:v>
      </x:c>
      <x:c r="C15" s="20" t="str">
        <x:v>Category</x:v>
      </x:c>
      <x:c r="D15" s="20" t="str">
        <x:v>Triple-diff</x:v>
      </x:c>
    </x:row>
    <x:row r="16">
      <x:c r="A16" s="20" t="str">
        <x:v>grace_or_exception</x:v>
      </x:c>
      <x:c r="B16" s="20" t="str">
        <x:v>Grace-period / urgent exception</x:v>
      </x:c>
      <x:c r="C16" s="20" t="str">
        <x:v>Boolean/category</x:v>
      </x:c>
      <x:c r="D16" s="20" t="str">
        <x:v>Control</x:v>
      </x:c>
    </x:row>
    <x:row r="17">
      <x:c r="A17" s="20" t="str">
        <x:v>event_type</x:v>
      </x:c>
      <x:c r="B17" s="20" t="str">
        <x:v>Start with forecast revision only</x:v>
      </x:c>
      <x:c r="C17" s="20" t="str">
        <x:v>Category</x:v>
      </x:c>
      <x:c r="D17" s="20" t="str">
        <x:v>Required</x:v>
      </x:c>
    </x:row>
    <x:row r="18">
      <x:c r="A18" s="20" t="str">
        <x:v>old_revenue_guidance</x:v>
      </x:c>
      <x:c r="B18" s="20" t="str">
        <x:v>Old forecast</x:v>
      </x:c>
      <x:c r="C18" s="20" t="str">
        <x:v>JPY mm</x:v>
      </x:c>
      <x:c r="D18" s="20" t="str">
        <x:v>Required when disclosed</x:v>
      </x:c>
    </x:row>
    <x:row r="19">
      <x:c r="A19" s="20" t="str">
        <x:v>new_revenue_guidance</x:v>
      </x:c>
      <x:c r="B19" s="20" t="str">
        <x:v>New forecast</x:v>
      </x:c>
      <x:c r="C19" s="20" t="str">
        <x:v>JPY mm</x:v>
      </x:c>
      <x:c r="D19" s="20" t="str">
        <x:v>Required when disclosed</x:v>
      </x:c>
    </x:row>
    <x:row r="20">
      <x:c r="A20" s="20" t="str">
        <x:v>old_operating_profit</x:v>
      </x:c>
      <x:c r="B20" s="20" t="str">
        <x:v>Old forecast</x:v>
      </x:c>
      <x:c r="C20" s="20" t="str">
        <x:v>JPY mm</x:v>
      </x:c>
      <x:c r="D20" s="20" t="str">
        <x:v>Required when disclosed</x:v>
      </x:c>
    </x:row>
    <x:row r="21">
      <x:c r="A21" s="20" t="str">
        <x:v>new_operating_profit</x:v>
      </x:c>
      <x:c r="B21" s="20" t="str">
        <x:v>New forecast</x:v>
      </x:c>
      <x:c r="C21" s="20" t="str">
        <x:v>JPY mm</x:v>
      </x:c>
      <x:c r="D21" s="20" t="str">
        <x:v>Required when disclosed</x:v>
      </x:c>
    </x:row>
    <x:row r="22">
      <x:c r="A22" s="20" t="str">
        <x:v>old_net_income</x:v>
      </x:c>
      <x:c r="B22" s="20" t="str">
        <x:v>Old forecast</x:v>
      </x:c>
      <x:c r="C22" s="20" t="str">
        <x:v>JPY mm</x:v>
      </x:c>
      <x:c r="D22" s="20" t="str">
        <x:v>Required when disclosed</x:v>
      </x:c>
    </x:row>
    <x:row r="23">
      <x:c r="A23" s="20" t="str">
        <x:v>new_net_income</x:v>
      </x:c>
      <x:c r="B23" s="20" t="str">
        <x:v>New forecast</x:v>
      </x:c>
      <x:c r="C23" s="20" t="str">
        <x:v>JPY mm</x:v>
      </x:c>
      <x:c r="D23" s="20" t="str">
        <x:v>Required when disclosed</x:v>
      </x:c>
    </x:row>
    <x:row r="24">
      <x:c r="A24" s="20" t="str">
        <x:v>revision_pct</x:v>
      </x:c>
      <x:c r="B24" s="20" t="str">
        <x:v>(new−old)/abs(old)</x:v>
      </x:c>
      <x:c r="C24" s="20" t="str">
        <x:v>Formula</x:v>
      </x:c>
      <x:c r="D24" s="20" t="str">
        <x:v>Primary event magnitude</x:v>
      </x:c>
    </x:row>
    <x:row r="25">
      <x:c r="A25" s="20" t="str">
        <x:v>event_session</x:v>
      </x:c>
      <x:c r="B25" s="20" t="str">
        <x:v>Before open / intraday / after close</x:v>
      </x:c>
      <x:c r="C25" s="20" t="str">
        <x:v>Category</x:v>
      </x:c>
      <x:c r="D25" s="20" t="str">
        <x:v>Required</x:v>
      </x:c>
    </x:row>
    <x:row r="26">
      <x:c r="A26" s="20" t="str">
        <x:v>price_t0</x:v>
      </x:c>
      <x:c r="B26" s="20" t="str">
        <x:v>First tradable close/open per preregistration</x:v>
      </x:c>
      <x:c r="C26" s="20" t="str">
        <x:v>JPY</x:v>
      </x:c>
      <x:c r="D26" s="20" t="str">
        <x:v>Required</x:v>
      </x:c>
    </x:row>
    <x:row r="27">
      <x:c r="A27" s="20" t="str">
        <x:v>ret_t1 / t3 / t5 / t10</x:v>
      </x:c>
      <x:c r="B27" s="20" t="str">
        <x:v>Daily abnormal returns</x:v>
      </x:c>
      <x:c r="C27" s="20" t="str">
        <x:v>%</x:v>
      </x:c>
      <x:c r="D27" s="20" t="str">
        <x:v>Primary outcome</x:v>
      </x:c>
    </x:row>
    <x:row r="28">
      <x:c r="A28" s="20" t="str">
        <x:v>matched_control_id</x:v>
      </x:c>
      <x:c r="B28" s="20" t="str">
        <x:v>Matched firm/event</x:v>
      </x:c>
      <x:c r="C28" s="20" t="str">
        <x:v>Text</x:v>
      </x:c>
      <x:c r="D28" s="20" t="str">
        <x:v>Control</x:v>
      </x:c>
    </x:row>
    <x:row r="29">
      <x:c r="A29" s="20" t="str">
        <x:v>size / liquidity / coverage</x:v>
      </x:c>
      <x:c r="B29" s="20" t="str">
        <x:v>Confounders</x:v>
      </x:c>
      <x:c r="C29" s="20" t="str">
        <x:v>Numeric</x:v>
      </x:c>
      <x:c r="D29" s="20" t="str">
        <x:v>Control</x:v>
      </x:c>
    </x:row>
    <x:row r="30">
      <x:c r="A30" s="20" t="str">
        <x:v>source_archive</x:v>
      </x:c>
      <x:c r="B30" s="20" t="str">
        <x:v>Yanoshin / official / paid</x:v>
      </x:c>
      <x:c r="C30" s="20" t="str">
        <x:v>Category</x:v>
      </x:c>
      <x:c r="D30" s="20" t="str">
        <x:v>Data lineage</x:v>
      </x:c>
    </x:row>
    <x:row r="31">
      <x:c r="A31" s="20" t="str">
        <x:v>evidence_hash</x:v>
      </x:c>
      <x:c r="B31" s="20" t="str">
        <x:v>Hash of raw docs and extraction</x:v>
      </x:c>
      <x:c r="C31" s="20" t="str">
        <x:v>Text</x:v>
      </x:c>
      <x:c r="D31" s="20" t="str">
        <x:v>Reproducibility</x:v>
      </x:c>
    </x:row>
  </x:sheetData>
  <x:mergeCells>
    <x:mergeCell ref="A1:E1"/>
    <x:mergeCell ref="A2:E2"/>
  </x:mergeCells>
  <x:pageMargins left="0.7" right="0.7" top="0.75" bottom="0.75" header="0.3" footer="0.3"/>
  <x:tableParts count="1">
    <x:tablePart xmlns:r="http://schemas.openxmlformats.org/officeDocument/2006/relationships" r:id="Rb09f8b9476b440b8"/>
  </x:tableParts>
</x:worksheet>
</file>

<file path=xl/worksheets/sheet12.xml><?xml version="1.0" encoding="utf-8"?>
<x:worksheet xmlns:x="http://schemas.openxmlformats.org/spreadsheetml/2006/main">
  <x:sheetFormatPr defaultRowHeight="15"/>
  <x:cols>
    <x:col min="1" max="1" width="28" hidden="0" customWidth="1"/>
    <x:col min="2" max="2" width="16" hidden="0" customWidth="1"/>
    <x:col min="3" max="3" width="18" hidden="0" customWidth="1"/>
    <x:col min="4" max="4" width="52" hidden="0" customWidth="1"/>
    <x:col min="5" max="5" width="55" hidden="0" customWidth="1"/>
  </x:cols>
  <x:sheetData>
    <x:row r="1">
      <x:c r="A1" s="15" t="str">
        <x:v>Источники и ограничения данных — День 1</x:v>
      </x:c>
      <x:c r="B1" s="15"/>
      <x:c r="C1" s="15"/>
      <x:c r="D1" s="15"/>
      <x:c r="E1" s="15"/>
    </x:row>
    <x:row r="3">
      <x:c r="A3" s="6" t="str">
        <x:v>Источник</x:v>
      </x:c>
      <x:c r="B3" s="6" t="str">
        <x:v>Статус</x:v>
      </x:c>
      <x:c r="C3" s="6" t="str">
        <x:v>Трек</x:v>
      </x:c>
      <x:c r="D3" s="6" t="str">
        <x:v>Что подтверждает</x:v>
      </x:c>
      <x:c r="E3" s="6" t="str">
        <x:v>URL</x:v>
      </x:c>
    </x:row>
    <x:row r="4">
      <x:c r="A4" s="20" t="str">
        <x:v>SEC BDC Data Sets</x:v>
      </x:c>
      <x:c r="B4" s="20" t="str">
        <x:v>Official</x:v>
      </x:c>
      <x:c r="C4" s="20" t="str">
        <x:v>BDC/XBRL</x:v>
      </x:c>
      <x:c r="D4" s="20" t="str">
        <x:v>Oct 2022–Jul 2026; monthly flat files incl. Schedule of Investments</x:v>
      </x:c>
      <x:c r="E4" s="20" t="str">
        <x:v>https://www.sec.gov/data-research/sec-markets-data/bdc-data-sets</x:v>
      </x:c>
    </x:row>
    <x:row r="5">
      <x:c r="A5" s="20" t="str">
        <x:v>SEC BDC Readme</x:v>
      </x:c>
      <x:c r="B5" s="20" t="str">
        <x:v>Official</x:v>
      </x:c>
      <x:c r="C5" s="20" t="str">
        <x:v>BDC schema</x:v>
      </x:c>
      <x:c r="D5" s="20" t="str">
        <x:v>SOI fields, accession, CIK, period, interest rate, spread, maturity, principal, cost, fair value</x:v>
      </x:c>
      <x:c r="E5" s="20" t="str">
        <x:v>https://www.sec.gov/files/bdc_readme.pdf</x:v>
      </x:c>
    </x:row>
    <x:row r="6">
      <x:c r="A6" s="20" t="str">
        <x:v>SEC BDC Report</x:v>
      </x:c>
      <x:c r="B6" s="20" t="str">
        <x:v>Official</x:v>
      </x:c>
      <x:c r="C6" s="20" t="str">
        <x:v>BDC universe</x:v>
      </x:c>
      <x:c r="D6" s="20" t="str">
        <x:v>Active/registered BDC CIK list</x:v>
      </x:c>
      <x:c r="E6" s="20" t="str">
        <x:v>https://www.sec.gov/data-research/sec-markets-data/opendatasetsshtmlbdc</x:v>
      </x:c>
    </x:row>
    <x:row r="7">
      <x:c r="A7" s="20" t="str">
        <x:v>SEC EDGAR full-index</x:v>
      </x:c>
      <x:c r="B7" s="20" t="str">
        <x:v>Official</x:v>
      </x:c>
      <x:c r="C7" s="20" t="str">
        <x:v>Filing chronology</x:v>
      </x:c>
      <x:c r="D7" s="20" t="str">
        <x:v>Quarterly master indices used for date-level filing calendar</x:v>
      </x:c>
      <x:c r="E7" s="20" t="str">
        <x:v>https://www.sec.gov/Archives/edgar/full-index/</x:v>
      </x:c>
    </x:row>
    <x:row r="8">
      <x:c r="A8" s="20" t="str">
        <x:v>JPX English disclosure via TDnet</x:v>
      </x:c>
      <x:c r="B8" s="20" t="str">
        <x:v>Official</x:v>
      </x:c>
      <x:c r="C8" s="20" t="str">
        <x:v>Japan rule</x:v>
      </x:c>
      <x:c r="D8" s="20" t="str">
        <x:v>Prime Market mandatory simultaneous Japanese/English disclosure from Apr 2025</x:v>
      </x:c>
      <x:c r="E8" s="20" t="str">
        <x:v>https://www.jpx.co.jp/english/equities/listed-co/disclosure-gate/service/</x:v>
      </x:c>
    </x:row>
    <x:row r="9">
      <x:c r="A9" s="20" t="str">
        <x:v>JPX mandatory English disclosure status</x:v>
      </x:c>
      <x:c r="B9" s="20" t="str">
        <x:v>Official</x:v>
      </x:c>
      <x:c r="C9" s="20" t="str">
        <x:v>Japan compliance</x:v>
      </x:c>
      <x:c r="D9" s="20" t="str">
        <x:v>Over 90% compliance; grace periods and partial/summary disclosure remain</x:v>
      </x:c>
      <x:c r="E9" s="20" t="str">
        <x:v>https://www.jpx.co.jp/english/equities/follow-up/b5b4pj000004yqcc-att/sjcobq0000024jy9.pdf</x:v>
      </x:c>
    </x:row>
    <x:row r="10">
      <x:c r="A10" s="20" t="str">
        <x:v>JPX TDnet API service</x:v>
      </x:c>
      <x:c r="B10" s="20" t="str">
        <x:v>Official / paid</x:v>
      </x:c>
      <x:c r="C10" s="20" t="str">
        <x:v>Japan archive</x:v>
      </x:c>
      <x:c r="D10" s="20" t="str">
        <x:v>Past five years available to subscribers</x:v>
      </x:c>
      <x:c r="E10" s="20" t="str">
        <x:v>https://www.jpx.co.jp/english/markets/paid-info-listing/tdnet/02.html</x:v>
      </x:c>
    </x:row>
    <x:row r="11">
      <x:c r="A11" s="20" t="str">
        <x:v>Yanoshin TDnet Web API</x:v>
      </x:c>
      <x:c r="B11" s="20" t="str">
        <x:v>Unofficial</x:v>
      </x:c>
      <x:c r="C11" s="20" t="str">
        <x:v>Japan archive</x:v>
      </x:c>
      <x:c r="D11" s="20" t="str">
        <x:v>Historical date pages tested back to Dec 2023; durability/licensing must be checked</x:v>
      </x:c>
      <x:c r="E11" s="20" t="str">
        <x:v>https://webapi.yanoshin.jp/tdnet/</x:v>
      </x:c>
    </x:row>
    <x:row r="12">
      <x:c r="A12" s="20" t="str">
        <x:v>J-Quants plans</x:v>
      </x:c>
      <x:c r="B12" s="20" t="str">
        <x:v>Official</x:v>
      </x:c>
      <x:c r="C12" s="20" t="str">
        <x:v>Japan prices</x:v>
      </x:c>
      <x:c r="D12" s="20" t="str">
        <x:v>Free daily OHLC; 2 years excluding latest 12 weeks; 5 calls/min</x:v>
      </x:c>
      <x:c r="E12" s="20" t="str">
        <x:v>https://jpx-jquants.com/en</x:v>
      </x:c>
    </x:row>
    <x:row r="13">
      <x:c r="A13" s="20" t="str">
        <x:v>J-Quants TDnet add-on</x:v>
      </x:c>
      <x:c r="B13" s="20" t="str">
        <x:v>Official team article / paid</x:v>
      </x:c>
      <x:c r="C13" s="20" t="str">
        <x:v>Japan disclosure</x:v>
      </x:c>
      <x:c r="D13" s="20" t="str">
        <x:v>Past five years + documents/XBRL, same-day delivery; paid add-on</x:v>
      </x:c>
      <x:c r="E13" s="20" t="str">
        <x:v>https://qiita.com/j_quants/items/7f59b0e9e34d023d0cc6</x:v>
      </x:c>
    </x:row>
  </x:sheetData>
  <x:mergeCells>
    <x:mergeCell ref="A1:E1"/>
  </x:mergeCells>
  <x:pageMargins left="0.7" right="0.7" top="0.75" bottom="0.75" header="0.3" footer="0.3"/>
  <x:tableParts count="1">
    <x:tablePart xmlns:r="http://schemas.openxmlformats.org/officeDocument/2006/relationships" r:id="R12861835a8d548c9"/>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s>
  <x:sheetData>
    <x:row r="1">
      <x:c r="A1" s="6" t="str">
        <x:v>Status</x:v>
      </x:c>
      <x:c r="B1" s="6" t="str">
        <x:v>Owner</x:v>
      </x:c>
      <x:c r="C1" s="6" t="str">
        <x:v>Track</x:v>
      </x:c>
      <x:c r="D1" s="6" t="str">
        <x:v>YesNo</x:v>
      </x:c>
      <x:c r="E1" s="6" t="str">
        <x:v>Confidence</x:v>
      </x:c>
      <x:c r="F1" s="6" t="str">
        <x:v>EnglishScope</x:v>
      </x:c>
    </x:row>
    <x:row r="2">
      <x:c r="A2" t="str">
        <x:v>Not Started</x:v>
      </x:c>
      <x:c r="B2" t="str">
        <x:v>Assistant</x:v>
      </x:c>
      <x:c r="C2" t="str">
        <x:v>ShadowNAV</x:v>
      </x:c>
      <x:c r="D2" t="str">
        <x:v>Да</x:v>
      </x:c>
      <x:c r="E2" t="str">
        <x:v>High</x:v>
      </x:c>
      <x:c r="F2" t="str">
        <x:v>Full</x:v>
      </x:c>
    </x:row>
    <x:row r="3">
      <x:c r="A3" t="str">
        <x:v>In Progress</x:v>
      </x:c>
      <x:c r="B3" t="str">
        <x:v>User</x:v>
      </x:c>
      <x:c r="C3" t="str">
        <x:v>Japan</x:v>
      </x:c>
      <x:c r="D3" t="str">
        <x:v>Нет</x:v>
      </x:c>
      <x:c r="E3" t="str">
        <x:v>Medium</x:v>
      </x:c>
      <x:c r="F3" t="str">
        <x:v>Summary</x:v>
      </x:c>
    </x:row>
    <x:row r="4">
      <x:c r="A4" t="str">
        <x:v>Done</x:v>
      </x:c>
      <x:c r="B4" t="str">
        <x:v>Friend</x:v>
      </x:c>
      <x:c r="C4" t="str">
        <x:v>Both</x:v>
      </x:c>
      <x:c r="D4" t="str">
        <x:v>Частично</x:v>
      </x:c>
      <x:c r="E4" t="str">
        <x:v>Low</x:v>
      </x:c>
      <x:c r="F4" t="str">
        <x:v>None</x:v>
      </x:c>
    </x:row>
    <x:row r="5">
      <x:c r="A5" t="str">
        <x:v>Blocked</x:v>
      </x:c>
      <x:c r="B5" t="str">
        <x:v>Both</x:v>
      </x:c>
      <x:c r="C5" t="str"/>
      <x:c r="D5" t="str">
        <x:v>Pending</x:v>
      </x:c>
      <x:c r="E5" t="str"/>
      <x:c r="F5" t="str">
        <x:v>Unknown</x:v>
      </x:c>
    </x:row>
    <x:row r="6">
      <x:c r="A6" t="str">
        <x:v>Needs Review</x:v>
      </x:c>
      <x:c r="B6" t="str"/>
      <x:c r="C6" t="str"/>
      <x:c r="D6" t="str"/>
      <x:c r="E6" t="str"/>
      <x:c r="F6" t="str"/>
    </x:row>
    <x:row r="7">
      <x:c r="A7" t="str">
        <x:v>Killed</x:v>
      </x:c>
      <x:c r="B7" t="str"/>
      <x:c r="C7" t="str"/>
      <x:c r="D7" t="str"/>
      <x:c r="E7" t="str"/>
      <x:c r="F7" t="str"/>
    </x:row>
    <x:row r="8">
      <x:c r="A8" t="str"/>
      <x:c r="B8" t="str"/>
      <x:c r="C8" t="str"/>
      <x:c r="D8" t="str"/>
      <x:c r="E8" t="str"/>
      <x:c r="F8"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25" hidden="0" customWidth="1"/>
    <x:col min="3" max="3" width="23" hidden="0" customWidth="1"/>
    <x:col min="4" max="4" width="52" hidden="0" customWidth="1"/>
    <x:col min="5" max="5" width="12" hidden="0" customWidth="1"/>
    <x:col min="6" max="6" width="35" hidden="0" customWidth="1"/>
    <x:col min="7" max="7" width="42" hidden="0" customWidth="1"/>
    <x:col min="8" max="8" width="24" hidden="0" customWidth="1"/>
  </x:cols>
  <x:sheetData>
    <x:row r="1" ht="28" customHeight="1">
      <x:c r="A1" s="128" t="str">
        <x:v>DAY 1 RECONCILIATION — CANONICAL STATUS BEFORE GIT PUSH</x:v>
      </x:c>
      <x:c r="B1" s="128"/>
      <x:c r="C1" s="128"/>
      <x:c r="D1" s="128"/>
      <x:c r="E1" s="128"/>
      <x:c r="F1" s="128"/>
      <x:c r="G1" s="128"/>
      <x:c r="H1" s="128"/>
    </x:row>
    <x:row r="2" ht="28" customHeight="1">
      <x:c r="A2" s="131" t="str">
        <x:v>This sheet reconciles the assistant workbook, Codex scripts/results, and Claude review. It supersedes conflicting Day 1 statements elsewhere.</x:v>
      </x:c>
      <x:c r="B2" s="131"/>
      <x:c r="C2" s="131"/>
      <x:c r="D2" s="131"/>
      <x:c r="E2" s="131"/>
      <x:c r="F2" s="131"/>
      <x:c r="G2" s="131"/>
      <x:c r="H2" s="131"/>
    </x:row>
    <x:row r="4">
      <x:c r="A4" s="137" t="str">
        <x:v>Track</x:v>
      </x:c>
      <x:c r="B4" s="138" t="str">
        <x:v>Claim / metric</x:v>
      </x:c>
      <x:c r="C4" s="138" t="str">
        <x:v>Canonical status</x:v>
      </x:c>
      <x:c r="D4" s="138" t="str">
        <x:v>Value / finding</x:v>
      </x:c>
      <x:c r="E4" s="138" t="str">
        <x:v>Confidence</x:v>
      </x:c>
      <x:c r="F4" s="138" t="str">
        <x:v>Do not infer</x:v>
      </x:c>
      <x:c r="G4" s="138" t="str">
        <x:v>Next evidence needed</x:v>
      </x:c>
      <x:c r="H4" s="139" t="str">
        <x:v>Source / owner</x:v>
      </x:c>
    </x:row>
    <x:row r="5" ht="54" customHeight="1">
      <x:c r="A5" s="140" t="str">
        <x:v>ShadowNAV</x:v>
      </x:c>
      <x:c r="B5" s="141" t="str">
        <x:v>Reporting-order windows exist</x:v>
      </x:c>
      <x:c r="C5" s="141" t="str">
        <x:v>Confirmed after removing obvious scheduling 8-K artifacts</x:v>
      </x:c>
      <x:c r="D5" s="141" t="str">
        <x:v>Assistant cleaned tracker: 295 structural source→listed windows ≥3 days over 4 quarters / 20 entities. Exact facility overlap not tested.</x:v>
      </x:c>
      <x:c r="E5" s="141" t="str">
        <x:v>Medium</x:v>
      </x:c>
      <x:c r="F5" s="141" t="str">
        <x:v>This is not 295 trades and not proof of alpha.</x:v>
      </x:c>
      <x:c r="G5" s="141" t="str">
        <x:v>Verify every first RESULTS/NAV timestamp and exact same facilities.</x:v>
      </x:c>
      <x:c r="H5" s="142" t="str">
        <x:v>Workbook + Claude review</x:v>
      </x:c>
    </x:row>
    <x:row r="6" ht="54" customHeight="1">
      <x:c r="A6" s="140" t="str">
        <x:v>ShadowNAV</x:v>
      </x:c>
      <x:c r="B6" s="141" t="str">
        <x:v>Codex 525-pair / 407 windows summary</x:v>
      </x:c>
      <x:c r="C6" s="141" t="str">
        <x:v>Superseded / contaminated</x:v>
      </x:c>
      <x:c r="D6" s="141" t="str">
        <x:v>OBDC 2025Q2 07-01 and GBDC 2025Q2 07-07 were schedule announcements, not results; related counts are inflated.</x:v>
      </x:c>
      <x:c r="E6" s="141" t="str">
        <x:v>High</x:v>
      </x:c>
      <x:c r="F6" s="141" t="str">
        <x:v>Do not cite 407 as a clean opportunity count.</x:v>
      </x:c>
      <x:c r="G6" s="141" t="str">
        <x:v>Regenerate reporting_order.csv using first results/NAV disclosure only.</x:v>
      </x:c>
      <x:c r="H6" s="142" t="str">
        <x:v>Claude cross-validation</x:v>
      </x:c>
    </x:row>
    <x:row r="7" ht="54" customHeight="1">
      <x:c r="A7" s="140" t="str">
        <x:v>ShadowNAV</x:v>
      </x:c>
      <x:c r="B7" s="141" t="str">
        <x:v>Median window</x:v>
      </x:c>
      <x:c r="C7" s="141" t="str">
        <x:v>Not yet canonical</x:v>
      </x:c>
      <x:c r="D7" s="141" t="str">
        <x:v>Codex reported 13.3 days before correction; cleaned distribution must be recomputed from verified results timestamps.</x:v>
      </x:c>
      <x:c r="E7" s="141" t="str">
        <x:v>Low</x:v>
      </x:c>
      <x:c r="F7" s="141" t="str">
        <x:v>Do not cite 13.3 days in pitch yet.</x:v>
      </x:c>
      <x:c r="G7" s="141" t="str">
        <x:v>Recompute p25/median/p75 after date classification and acceptance timestamps.</x:v>
      </x:c>
      <x:c r="H7" s="142" t="str">
        <x:v>Codex local scripts</x:v>
      </x:c>
    </x:row>
    <x:row r="8" ht="54" customHeight="1">
      <x:c r="A8" s="140" t="str">
        <x:v>ShadowNAV</x:v>
      </x:c>
      <x:c r="B8" s="141" t="str">
        <x:v>Non-traded BDCs as early sensors</x:v>
      </x:c>
      <x:c r="C8" s="141" t="str">
        <x:v>Mostly refuted</x:v>
      </x:c>
      <x:c r="D8" s="141" t="str">
        <x:v>Codex: all 20 non-traded observations were later than median listed fund; median delay ~9 days; 17/20 after ≥14 of 15 listed. Niche non-traded→very-late-listed windows may remain.</x:v>
      </x:c>
      <x:c r="E8" s="141" t="str">
        <x:v>High</x:v>
      </x:c>
      <x:c r="F8" s="141" t="str">
        <x:v>Do not build the core story around non-traded-first.</x:v>
      </x:c>
      <x:c r="G8" s="141" t="str">
        <x:v>Test specific surviving windows only after facility matching.</x:v>
      </x:c>
      <x:c r="H8" s="142" t="str">
        <x:v>Codex + Claude review</x:v>
      </x:c>
    </x:row>
    <x:row r="9" ht="54" customHeight="1">
      <x:c r="A9" s="140" t="str">
        <x:v>ShadowNAV</x:v>
      </x:c>
      <x:c r="B9" s="141" t="str">
        <x:v>Exact same facilities</x:v>
      </x:c>
      <x:c r="C9" s="141" t="str">
        <x:v>Open / fatal gate</x:v>
      </x:c>
      <x:c r="D9" s="141" t="str">
        <x:v>No canonical count yet. Same borrower is not enough; lien/type/rate/maturity/currency must match.</x:v>
      </x:c>
      <x:c r="E9" s="141" t="str">
        <x:v>Open</x:v>
      </x:c>
      <x:c r="F9" s="141" t="str">
        <x:v>No ShadowNAV claim until this passes.</x:v>
      </x:c>
      <x:c r="G9" s="141" t="str">
        <x:v>Day 2 manual SOI review on random/defined source-target pairs.</x:v>
      </x:c>
      <x:c r="H9" s="142" t="str">
        <x:v>Day 2</x:v>
      </x:c>
    </x:row>
    <x:row r="10" ht="54" customHeight="1">
      <x:c r="A10" s="140" t="str">
        <x:v>ShadowNAV</x:v>
      </x:c>
      <x:c r="B10" s="141" t="str">
        <x:v>Primary outcome</x:v>
      </x:c>
      <x:c r="C10" s="141" t="str">
        <x:v>Frozen design</x:v>
      </x:c>
      <x:c r="D10" s="141" t="str">
        <x:v>Predict later-reporter's still-unpublished same-quarter FV/par; secondary PIK/non-accrual; equity is tertiary relative-value test.</x:v>
      </x:c>
      <x:c r="E10" s="141" t="str">
        <x:v>High</x:v>
      </x:c>
      <x:c r="F10" s="141" t="str">
        <x:v>Do not start with stock returns.</x:v>
      </x:c>
      <x:c r="G10" s="141" t="str">
        <x:v>Freeze random sample before seeing target outcomes; compare against unchanged and co-holder median baselines.</x:v>
      </x:c>
      <x:c r="H10" s="142" t="str">
        <x:v>Preregistration</x:v>
      </x:c>
    </x:row>
    <x:row r="11" ht="54" customHeight="1">
      <x:c r="A11" s="140" t="str">
        <x:v>Japan</x:v>
      </x:c>
      <x:c r="B11" s="141" t="str">
        <x:v>Historical Yanoshin index</x:v>
      </x:c>
      <x:c r="C11" s="141" t="str">
        <x:v>Confirmed</x:v>
      </x:c>
      <x:c r="D11" s="141" t="str">
        <x:v>With limit=10000, tested monthly ranges return ~4,027–6,216 items; forecast-revision title matches ~229–313/month.</x:v>
      </x:c>
      <x:c r="E11" s="141" t="str">
        <x:v>High</x:v>
      </x:c>
      <x:c r="F11" s="141" t="str">
        <x:v>Index availability does not imply document availability or complete archive.</x:v>
      </x:c>
      <x:c r="G11" s="141" t="str">
        <x:v>Save raw API responses and test continuity/rate/ToS.</x:v>
      </x:c>
      <x:c r="H11" s="142" t="str">
        <x:v>Codex local script</x:v>
      </x:c>
    </x:row>
    <x:row r="12" ht="54" customHeight="1">
      <x:c r="A12" s="140" t="str">
        <x:v>Japan</x:v>
      </x:c>
      <x:c r="B12" s="141" t="str">
        <x:v>Old PDF/XBRL documents</x:v>
      </x:c>
      <x:c r="C12" s="141" t="str">
        <x:v>Failed for tested links</x:v>
      </x:c>
      <x:c r="D12" s="141" t="str">
        <x:v>All tested old document_url and url_xbrl links after redirect returned 404.</x:v>
      </x:c>
      <x:c r="E12" s="141" t="str">
        <x:v>High</x:v>
      </x:c>
      <x:c r="F12" s="141" t="str">
        <x:v>Do not write 'historical documents available'.</x:v>
      </x:c>
      <x:c r="G12" s="141" t="str">
        <x:v>Recover old/new forecast numbers via issuer IR, J-Quants statements, alternative mirrors/archives.</x:v>
      </x:c>
      <x:c r="H12" s="142" t="str">
        <x:v>Codex link test</x:v>
      </x:c>
    </x:row>
    <x:row r="13" ht="54" customHeight="1">
      <x:c r="A13" s="140" t="str">
        <x:v>Japan</x:v>
      </x:c>
      <x:c r="B13" s="141" t="str">
        <x:v>Daily price data</x:v>
      </x:c>
      <x:c r="C13" s="141" t="str">
        <x:v>Known constraint</x:v>
      </x:c>
      <x:c r="D13" s="141" t="str">
        <x:v>J-Quants Free has 12-week delay; historical daily T+1…T+10 tests are possible on older events, not fresh events.</x:v>
      </x:c>
      <x:c r="E13" s="141" t="str">
        <x:v>High</x:v>
      </x:c>
      <x:c r="F13" s="141" t="str">
        <x:v>Cannot test intraday language delay for free.</x:v>
      </x:c>
      <x:c r="G13" s="141" t="str">
        <x:v>Use events older than delay and document event-time convention.</x:v>
      </x:c>
      <x:c r="H13" s="142" t="str">
        <x:v>Reference docs</x:v>
      </x:c>
    </x:row>
    <x:row r="14" ht="54" customHeight="1">
      <x:c r="A14" s="140" t="str">
        <x:v>Japan</x:v>
      </x:c>
      <x:c r="B14" s="141" t="str">
        <x:v>Primary event class</x:v>
      </x:c>
      <x:c r="C14" s="141" t="str">
        <x:v>Frozen design</x:v>
      </x:c>
      <x:c r="D14" s="141" t="str">
        <x:v>Only earnings forecast revisions for first test; old/new numbers are ground truth. No buyback/M&amp;A/value-up zoo yet.</x:v>
      </x:c>
      <x:c r="E14" s="141" t="str">
        <x:v>High</x:v>
      </x:c>
      <x:c r="F14" s="141" t="str">
        <x:v>Titles alone are insufficient.</x:v>
      </x:c>
      <x:c r="G14" s="141" t="str">
        <x:v>Recover numeric old/new forecasts and JP/EN treatment fields for 30–50 events.</x:v>
      </x:c>
      <x:c r="H14" s="142" t="str">
        <x:v>Preregistration</x:v>
      </x:c>
    </x:row>
    <x:row r="15" ht="54" customHeight="1">
      <x:c r="A15" s="140" t="str">
        <x:v>Selection</x:v>
      </x:c>
      <x:c r="B15" s="141" t="str">
        <x:v>Flagship decision</x:v>
      </x:c>
      <x:c r="C15" s="141" t="str">
        <x:v>Not made</x:v>
      </x:c>
      <x:c r="D15" s="141" t="str">
        <x:v>Both candidates remain alive. Day 2 bottlenecks: exact facilities/mark nowcasts vs recoverable Japanese numeric revisions.</x:v>
      </x:c>
      <x:c r="E15" s="141" t="str">
        <x:v>High</x:v>
      </x:c>
      <x:c r="F15" s="141" t="str">
        <x:v>Do not treat dashboard scores 89/82 or pre-data priors as decision.</x:v>
      </x:c>
      <x:c r="G15" s="141" t="str">
        <x:v>Update decision matrix only after evidence.</x:v>
      </x:c>
      <x:c r="H15" s="142" t="str">
        <x:v>Showdown rule</x:v>
      </x:c>
    </x:row>
    <x:row r="16" ht="54" customHeight="1">
      <x:c r="A16" s="143" t="str">
        <x:v>Process</x:v>
      </x:c>
      <x:c r="B16" s="144" t="str">
        <x:v>Code to commit</x:v>
      </x:c>
      <x:c r="C16" s="144" t="str">
        <x:v>Prefer latest local Codex outputs</x:v>
      </x:c>
      <x:c r="D16" s="144" t="str">
        <x:v>Latest day1_japan_archive_check.py, day1_bdc_reporting_order.py, find_nontraded_ciks.py and reporting_order.csv exist locally and supersede older archive scripts.</x:v>
      </x:c>
      <x:c r="E16" s="144" t="str">
        <x:v>High</x:v>
      </x:c>
      <x:c r="F16" s="144" t="str">
        <x:v>Do not overwrite them with older Claude ZIP scripts.</x:v>
      </x:c>
      <x:c r="G16" s="144" t="str">
        <x:v>Codex must inspect git diff and retain newer local versions.</x:v>
      </x:c>
      <x:c r="H16" s="145" t="str">
        <x:v>User/Codex</x:v>
      </x:c>
    </x:row>
  </x:sheetData>
  <x:mergeCells>
    <x:mergeCell ref="A1:H1"/>
    <x:mergeCell ref="A2:H2"/>
  </x:mergeCells>
  <x:conditionalFormatting sqref="C5:C16">
    <x:cfRule type="expression" dxfId="9" priority="1">
      <x:formula>OR(ISNUMBER(SEARCH("Confirmed",C5)),ISNUMBER(SEARCH("Frozen",C5)))</x:formula>
    </x:cfRule>
    <x:cfRule type="expression" dxfId="10" priority="2">
      <x:formula>OR(ISNUMBER(SEARCH("Failed",C5)),ISNUMBER(SEARCH("Superseded",C5)),ISNUMBER(SEARCH("refuted",C5)))</x:formula>
    </x:cfRule>
    <x:cfRule type="expression" dxfId="11" priority="3">
      <x:formula>OR(ISNUMBER(SEARCH("Open",C5)),ISNUMBER(SEARCH("Not yet",C5)),ISNUMBER(SEARCH("Not made",C5)))</x:formula>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34" hidden="0" customWidth="1"/>
    <x:col min="5" max="5" width="20" hidden="0" customWidth="1"/>
    <x:col min="6" max="6" width="18" hidden="0" customWidth="1"/>
    <x:col min="7" max="7" width="18" hidden="0" customWidth="1"/>
    <x:col min="8" max="8" width="34" hidden="0" customWidth="1"/>
  </x:cols>
  <x:sheetData>
    <x:row r="1" ht="30" customHeight="1">
      <x:c r="A1" s="152" t="str">
        <x:v>DAY 2 — Mechanism Research (exploratory, not flagship selection)</x:v>
      </x:c>
      <x:c r="B1" s="152"/>
      <x:c r="C1" s="152"/>
      <x:c r="D1" s="152"/>
      <x:c r="E1" s="152"/>
      <x:c r="F1" s="152"/>
      <x:c r="G1" s="152"/>
      <x:c r="H1" s="152"/>
    </x:row>
    <x:row r="2" ht="42" customHeight="1">
      <x:c r="A2" s="155" t="str">
        <x:v>All BDC examples below are contaminated/illustrative because outcomes were inspected manually. They must be excluded from the preregistered random evaluation.</x:v>
      </x:c>
      <x:c r="B2" s="155"/>
      <x:c r="C2" s="155"/>
      <x:c r="D2" s="155"/>
      <x:c r="E2" s="155"/>
      <x:c r="F2" s="155"/>
      <x:c r="G2" s="155"/>
      <x:c r="H2" s="155"/>
    </x:row>
    <x:row r="4">
      <x:c r="A4" s="161" t="str">
        <x:v>SHADOWNAV — preliminary mechanism findings</x:v>
      </x:c>
      <x:c r="B4" s="161"/>
      <x:c r="C4" s="161"/>
      <x:c r="D4" s="161"/>
      <x:c r="E4" s="161" t="str">
        <x:v>JAPAN — preliminary data recovery findings</x:v>
      </x:c>
      <x:c r="F4" s="161"/>
      <x:c r="G4" s="161"/>
      <x:c r="H4" s="161"/>
    </x:row>
    <x:row r="5">
      <x:c r="A5" s="164" t="str">
        <x:v>Illustrative exact-facility cases</x:v>
      </x:c>
      <x:c r="B5" s="165" t="n">
        <x:v>2</x:v>
      </x:c>
      <x:c r="C5" s="164" t="str">
        <x:v>Contaminated</x:v>
      </x:c>
      <x:c r="D5" s="164" t="str">
        <x:v>Do not use for OOS</x:v>
      </x:c>
      <x:c r="E5" s="164" t="str">
        <x:v>Seed numeric recovery</x:v>
      </x:c>
      <x:c r="F5" s="165" t="str">
        <x:v>8 / 8</x:v>
      </x:c>
      <x:c r="G5" s="164" t="str">
        <x:v>Preliminary pass</x:v>
      </x:c>
      <x:c r="H5" s="164" t="str">
        <x:v>Fixed existing seed rows</x:v>
      </x:c>
    </x:row>
    <x:row r="6">
      <x:c r="A6" s="164" t="str">
        <x:v>Earliest-source baseline wins</x:v>
      </x:c>
      <x:c r="B6" s="165" t="n">
        <x:v>1</x:v>
      </x:c>
      <x:c r="C6" s="164" t="str">
        <x:v>Mixed</x:v>
      </x:c>
      <x:c r="D6" s="164" t="str">
        <x:v>Auctane lost; Medallia won</x:v>
      </x:c>
      <x:c r="E6" s="164" t="str">
        <x:v>Underlying source</x:v>
      </x:c>
      <x:c r="F6" s="165" t="str">
        <x:v>IRBank</x:v>
      </x:c>
      <x:c r="G6" s="164" t="str">
        <x:v>Third-party</x:v>
      </x:c>
      <x:c r="H6" s="164" t="str">
        <x:v>License/redistribution review required</x:v>
      </x:c>
    </x:row>
    <x:row r="7">
      <x:c r="A7" s="164" t="str">
        <x:v>Unchanged-mark baseline wins</x:v>
      </x:c>
      <x:c r="B7" s="165" t="n">
        <x:v>1</x:v>
      </x:c>
      <x:c r="C7" s="164" t="str">
        <x:v>Mixed</x:v>
      </x:c>
      <x:c r="D7" s="164" t="str">
        <x:v>Naive source is not uniformly superior</x:v>
      </x:c>
      <x:c r="E7" s="164" t="str">
        <x:v>Still missing</x:v>
      </x:c>
      <x:c r="F7" s="165" t="str">
        <x:v>Treatment + prices</x:v>
      </x:c>
      <x:c r="G7" s="164" t="str">
        <x:v>Open gate</x:v>
      </x:c>
      <x:c r="H7" s="164" t="str">
        <x:v>JP/EN status, segment, foreign ownership</x:v>
      </x:c>
    </x:row>
    <x:row r="8">
      <x:c r="A8" s="164" t="str">
        <x:v>Core Day 2 conclusion</x:v>
      </x:c>
      <x:c r="B8" s="165" t="str">
        <x:v>Alive</x:v>
      </x:c>
      <x:c r="C8" s="164" t="str">
        <x:v>Needs scale</x:v>
      </x:c>
      <x:c r="D8" s="164" t="str">
        <x:v>Strict facility match + lender bias required</x:v>
      </x:c>
      <x:c r="E8" s="164" t="str">
        <x:v>Core Day 2 conclusion</x:v>
      </x:c>
      <x:c r="F8" s="165" t="str">
        <x:v>Alive</x:v>
      </x:c>
      <x:c r="G8" s="164" t="str">
        <x:v>Needs scale</x:v>
      </x:c>
      <x:c r="H8" s="164" t="str">
        <x:v>Expand to 30–50 events; retain failures</x:v>
      </x:c>
    </x:row>
    <x:row r="10">
      <x:c r="A10" s="161" t="str">
        <x:v>What changed today</x:v>
      </x:c>
      <x:c r="B10" s="161"/>
      <x:c r="C10" s="161"/>
      <x:c r="D10" s="161"/>
      <x:c r="E10" s="161"/>
      <x:c r="F10" s="161"/>
      <x:c r="G10" s="161"/>
      <x:c r="H10" s="161"/>
    </x:row>
    <x:row r="11">
      <x:c r="A11" s="167" t="str">
        <x:v>1</x:v>
      </x:c>
      <x:c r="B11" s="164" t="str">
        <x:v>Same borrower is not enough</x:v>
      </x:c>
      <x:c r="C11" s="164" t="str">
        <x:v>A borrower can have several tranches, currencies, funded/unfunded lines and different seniority.</x:v>
      </x:c>
      <x:c r="D11" s="164" t="str">
        <x:v>Use a strict facility fingerprint.</x:v>
      </x:c>
      <x:c r="E11" s="172" t="str">
        <x:v>Day 2 status:
• ShadowNAV remains viable, but the first two manually inspected cases are deliberately quarantined.
• Japan's numeric-content blocker is reduced, but the language-treatment and price-linkage gates remain open.
• Next valid evidence must come from a fixed random sample generated before target outcomes are opened.</x:v>
      </x:c>
      <x:c r="F11" s="172"/>
      <x:c r="G11" s="172"/>
      <x:c r="H11" s="172"/>
    </x:row>
    <x:row r="12">
      <x:c r="A12" s="167" t="str">
        <x:v>2</x:v>
      </x:c>
      <x:c r="B12" s="164" t="str">
        <x:v>Naive co-holder mark is not automatically correct</x:v>
      </x:c>
      <x:c r="C12" s="164" t="str">
        <x:v>Auctane: unchanged target mark beat the early ARCC mark.</x:v>
      </x:c>
      <x:c r="D12" s="164" t="str">
        <x:v>Model persistent lender/appraiser bias.</x:v>
      </x:c>
      <x:c r="E12" s="172"/>
      <x:c r="F12" s="172"/>
      <x:c r="G12" s="172"/>
      <x:c r="H12" s="172"/>
    </x:row>
    <x:row r="13">
      <x:c r="A13" s="167" t="str">
        <x:v>3</x:v>
      </x:c>
      <x:c r="B13" s="164" t="str">
        <x:v>The mechanism can still be powerful</x:v>
      </x:c>
      <x:c r="C13" s="164" t="str">
        <x:v>Medallia: early BXSL mark materially improved the later FSK same-quarter nowcast.</x:v>
      </x:c>
      <x:c r="D13" s="164" t="str">
        <x:v>Proceed to a frozen random sample.</x:v>
      </x:c>
      <x:c r="E13" s="172"/>
      <x:c r="F13" s="172"/>
      <x:c r="G13" s="172"/>
      <x:c r="H13" s="172"/>
    </x:row>
    <x:row r="14">
      <x:c r="A14" s="167" t="str">
        <x:v>4</x:v>
      </x:c>
      <x:c r="B14" s="164" t="str">
        <x:v>Japan numeric recovery is technically feasible</x:v>
      </x:c>
      <x:c r="C14" s="164" t="str">
        <x:v>8/8 investigated seed revisions yielded old/new revenue and profit forecasts.</x:v>
      </x:c>
      <x:c r="D14" s="164" t="str">
        <x:v>Scale reproducibly; keep failures in denominator.</x:v>
      </x:c>
      <x:c r="E14" s="172"/>
      <x:c r="F14" s="172"/>
      <x:c r="G14" s="172"/>
      <x:c r="H14" s="172"/>
    </x:row>
    <x:row r="15">
      <x:c r="A15" s="167" t="str">
        <x:v>5</x:v>
      </x:c>
      <x:c r="B15" s="164" t="str">
        <x:v>No flagship decision yet</x:v>
      </x:c>
      <x:c r="C15" s="164" t="str">
        <x:v>Two cherry-picked BDC examples and eight seed Japan rows are not statistical evidence.</x:v>
      </x:c>
      <x:c r="D15" s="164" t="str">
        <x:v>Day 2 produces data gates, not alpha claims.</x:v>
      </x:c>
      <x:c r="E15" s="172"/>
      <x:c r="F15" s="172"/>
      <x:c r="G15" s="172"/>
      <x:c r="H15" s="172"/>
    </x:row>
    <x:row r="17">
      <x:c r="A17" s="161" t="str">
        <x:v>Hard next gates</x:v>
      </x:c>
      <x:c r="B17" s="161"/>
      <x:c r="C17" s="161"/>
      <x:c r="D17" s="161"/>
      <x:c r="E17" s="161"/>
      <x:c r="F17" s="161"/>
      <x:c r="G17" s="161"/>
      <x:c r="H17" s="161"/>
    </x:row>
    <x:row r="18">
      <x:c r="A18" s="164" t="str">
        <x:v>ShadowNAV 1</x:v>
      </x:c>
      <x:c r="B18" s="164" t="str">
        <x:v>Download official SEC BDC flat files and parse SOI at facility level.</x:v>
      </x:c>
      <x:c r="C18" s="175" t="str">
        <x:v>Open</x:v>
      </x:c>
      <x:c r="D18" s="180" t="str">
        <x:v>Selection rule remains unchanged:
Choose the flagship only after comparing directness of the information → ground-truth link, usable historical sample, out-of-sample baseline improvement, data/license robustness, trading window and product value at null.</x:v>
      </x:c>
      <x:c r="E18" s="180"/>
      <x:c r="F18" s="180"/>
      <x:c r="G18" s="180"/>
      <x:c r="H18" s="180"/>
    </x:row>
    <x:row r="19">
      <x:c r="A19" s="164" t="str">
        <x:v>ShadowNAV 2</x:v>
      </x:c>
      <x:c r="B19" s="164" t="str">
        <x:v>Freeze all eligible observation IDs with seed 20260813 before outcomes.</x:v>
      </x:c>
      <x:c r="C19" s="175" t="str">
        <x:v>Open</x:v>
      </x:c>
      <x:c r="D19" s="180"/>
      <x:c r="E19" s="180"/>
      <x:c r="F19" s="180"/>
      <x:c r="G19" s="180"/>
      <x:c r="H19" s="180"/>
    </x:row>
    <x:row r="20">
      <x:c r="A20" s="164" t="str">
        <x:v>ShadowNAV 3</x:v>
      </x:c>
      <x:c r="B20" s="164" t="str">
        <x:v>Locked match benchmark precision ≥95%.</x:v>
      </x:c>
      <x:c r="C20" s="175" t="str">
        <x:v>Open</x:v>
      </x:c>
      <x:c r="D20" s="180"/>
      <x:c r="E20" s="180"/>
      <x:c r="F20" s="180"/>
      <x:c r="G20" s="180"/>
      <x:c r="H20" s="180"/>
    </x:row>
    <x:row r="21">
      <x:c r="A21" s="164" t="str">
        <x:v>Japan 1</x:v>
      </x:c>
      <x:c r="B21" s="164" t="str">
        <x:v>Expand numeric recovery to 30–50 fixed events, including failures.</x:v>
      </x:c>
      <x:c r="C21" s="175" t="str">
        <x:v>Open</x:v>
      </x:c>
      <x:c r="D21" s="180"/>
      <x:c r="E21" s="180"/>
      <x:c r="F21" s="180"/>
      <x:c r="G21" s="180"/>
      <x:c r="H21" s="180"/>
    </x:row>
    <x:row r="22">
      <x:c r="A22" s="164" t="str">
        <x:v>Japan 2</x:v>
      </x:c>
      <x:c r="B22" s="164" t="str">
        <x:v>Recover event-level Prime/Standard and English full/summary/none.</x:v>
      </x:c>
      <x:c r="C22" s="175" t="str">
        <x:v>Open</x:v>
      </x:c>
      <x:c r="D22" s="180"/>
      <x:c r="E22" s="180"/>
      <x:c r="F22" s="180"/>
      <x:c r="G22" s="180"/>
      <x:c r="H22" s="180"/>
    </x:row>
    <x:row r="23">
      <x:c r="A23" s="164" t="str">
        <x:v>Japan 3</x:v>
      </x:c>
      <x:c r="B23" s="164" t="str">
        <x:v>Link clean events to daily prices and define event time deterministically.</x:v>
      </x:c>
      <x:c r="C23" s="175" t="str">
        <x:v>Open</x:v>
      </x:c>
      <x:c r="D23" s="180"/>
      <x:c r="E23" s="180"/>
      <x:c r="F23" s="180"/>
      <x:c r="G23" s="180"/>
      <x:c r="H23" s="180"/>
    </x:row>
  </x:sheetData>
  <x:mergeCells>
    <x:mergeCell ref="A1:H1"/>
    <x:mergeCell ref="A2:H2"/>
    <x:mergeCell ref="A4:D4"/>
    <x:mergeCell ref="E4:H4"/>
    <x:mergeCell ref="A10:H10"/>
    <x:mergeCell ref="E11:H15"/>
    <x:mergeCell ref="A17:H17"/>
    <x:mergeCell ref="D18:H23"/>
  </x:mergeCells>
  <x:pageMargins left="0.7" right="0.7" top="0.75" bottom="0.75" header="0.3" footer="0.3"/>
</x:worksheet>
</file>

<file path=xl/worksheets/sheet16.xml><?xml version="1.0" encoding="utf-8"?>
<x:worksheet xmlns:x="http://schemas.openxmlformats.org/spreadsheetml/2006/main">
  <x:sheetFormatPr defaultRowHeight="15"/>
  <x:cols>
    <x:col min="1" max="1" width="28" hidden="0" customWidth="1"/>
    <x:col min="2" max="2" width="13" hidden="0" customWidth="1"/>
    <x:col min="3" max="3" width="18" hidden="0" customWidth="1"/>
    <x:col min="4" max="4" width="44" hidden="0" customWidth="1"/>
    <x:col min="5" max="5" width="12" hidden="0" customWidth="1"/>
    <x:col min="6" max="6" width="21" hidden="0" customWidth="1"/>
    <x:col min="7" max="7" width="12" hidden="0" customWidth="1"/>
    <x:col min="8" max="8" width="21" hidden="0" customWidth="1"/>
    <x:col min="9" max="9" width="13" hidden="0" customWidth="1"/>
    <x:col min="10" max="10" width="13" hidden="0" customWidth="1"/>
    <x:col min="11" max="11" width="13" hidden="0" customWidth="1"/>
    <x:col min="12" max="12" width="12" hidden="0" customWidth="1"/>
    <x:col min="13" max="13" width="15" hidden="0" customWidth="1"/>
    <x:col min="14" max="14" width="15" hidden="0" customWidth="1"/>
    <x:col min="15" max="15" width="14" hidden="0" customWidth="1"/>
    <x:col min="16" max="16" width="15" hidden="0" customWidth="1"/>
    <x:col min="17" max="17" width="15" hidden="0" customWidth="1"/>
    <x:col min="18" max="18" width="14" hidden="0" customWidth="1"/>
    <x:col min="19" max="19" width="16" hidden="0" customWidth="1"/>
    <x:col min="20" max="20" width="16" hidden="0" customWidth="1"/>
    <x:col min="21" max="21" width="18" hidden="0" customWidth="1"/>
    <x:col min="22" max="22" width="14" hidden="0" customWidth="1"/>
    <x:col min="23" max="23" width="50" hidden="0" customWidth="1"/>
    <x:col min="24" max="24" width="38" hidden="0" customWidth="1"/>
  </x:cols>
  <x:sheetData>
    <x:row r="1" ht="30" customHeight="1">
      <x:c r="A1" s="152" t="str">
        <x:v>ShadowNAV — illustrative same-quarter facility cases (QUARANTINED)</x:v>
      </x:c>
      <x:c r="B1" s="152"/>
      <x:c r="C1" s="152"/>
      <x:c r="D1" s="152"/>
      <x:c r="E1" s="152"/>
      <x:c r="F1" s="152"/>
      <x:c r="G1" s="152"/>
      <x:c r="H1" s="152"/>
      <x:c r="I1" s="152"/>
      <x:c r="J1" s="152"/>
      <x:c r="K1" s="152"/>
      <x:c r="L1" s="152"/>
      <x:c r="M1" s="152"/>
      <x:c r="N1" s="152"/>
      <x:c r="O1" s="152"/>
      <x:c r="P1" s="152"/>
      <x:c r="Q1" s="152"/>
      <x:c r="R1" s="152"/>
      <x:c r="S1" s="152"/>
      <x:c r="T1" s="152"/>
      <x:c r="U1" s="152"/>
      <x:c r="V1" s="152"/>
      <x:c r="W1" s="152"/>
      <x:c r="X1" s="152"/>
    </x:row>
    <x:row r="2">
      <x:c r="A2" s="155" t="str">
        <x:v>These cases were inspected before random sampling. Keep them as parser/regression fixtures only; exclude them from every preregistered evaluation.</x:v>
      </x:c>
      <x:c r="B2" s="155"/>
      <x:c r="C2" s="155"/>
      <x:c r="D2" s="155"/>
      <x:c r="E2" s="155"/>
      <x:c r="F2" s="155"/>
      <x:c r="G2" s="155"/>
      <x:c r="H2" s="155"/>
      <x:c r="I2" s="155"/>
      <x:c r="J2" s="155"/>
      <x:c r="K2" s="155"/>
      <x:c r="L2" s="155"/>
      <x:c r="M2" s="155"/>
      <x:c r="N2" s="155"/>
      <x:c r="O2" s="155"/>
      <x:c r="P2" s="155"/>
      <x:c r="Q2" s="155"/>
      <x:c r="R2" s="155"/>
      <x:c r="S2" s="155"/>
      <x:c r="T2" s="155"/>
      <x:c r="U2" s="155"/>
      <x:c r="V2" s="155"/>
      <x:c r="W2" s="155"/>
      <x:c r="X2" s="155"/>
    </x:row>
    <x:row r="4">
      <x:c r="A4" s="161" t="str">
        <x:v>Case ID</x:v>
      </x:c>
      <x:c r="B4" s="161" t="str">
        <x:v>Quarter end</x:v>
      </x:c>
      <x:c r="C4" s="161" t="str">
        <x:v>Borrower</x:v>
      </x:c>
      <x:c r="D4" s="161" t="str">
        <x:v>Facility fingerprint</x:v>
      </x:c>
      <x:c r="E4" s="161" t="str">
        <x:v>Source BDC</x:v>
      </x:c>
      <x:c r="F4" s="161" t="str">
        <x:v>Source results ET</x:v>
      </x:c>
      <x:c r="G4" s="161" t="str">
        <x:v>Target BDC</x:v>
      </x:c>
      <x:c r="H4" s="161" t="str">
        <x:v>Target results ET</x:v>
      </x:c>
      <x:c r="I4" s="161" t="str">
        <x:v>Window hours</x:v>
      </x:c>
      <x:c r="J4" s="161" t="str">
        <x:v>Source par ($m)</x:v>
      </x:c>
      <x:c r="K4" s="161" t="str">
        <x:v>Source FV ($m)</x:v>
      </x:c>
      <x:c r="L4" s="161" t="str">
        <x:v>Source mark</x:v>
      </x:c>
      <x:c r="M4" s="161" t="str">
        <x:v>Target prior par ($m)</x:v>
      </x:c>
      <x:c r="N4" s="161" t="str">
        <x:v>Target prior FV ($m)</x:v>
      </x:c>
      <x:c r="O4" s="161" t="str">
        <x:v>Target prior mark</x:v>
      </x:c>
      <x:c r="P4" s="161" t="str">
        <x:v>Target actual par ($m)</x:v>
      </x:c>
      <x:c r="Q4" s="161" t="str">
        <x:v>Target actual FV ($m)</x:v>
      </x:c>
      <x:c r="R4" s="161" t="str">
        <x:v>Target actual mark</x:v>
      </x:c>
      <x:c r="S4" s="161" t="str">
        <x:v>Unchanged error (pp)</x:v>
      </x:c>
      <x:c r="T4" s="161" t="str">
        <x:v>Source error (pp)</x:v>
      </x:c>
      <x:c r="U4" s="161" t="str">
        <x:v>Improvement vs unchanged</x:v>
      </x:c>
      <x:c r="V4" s="161" t="str">
        <x:v>Contaminated?</x:v>
      </x:c>
      <x:c r="W4" s="161" t="str">
        <x:v>Interpretation</x:v>
      </x:c>
      <x:c r="X4" s="161" t="str">
        <x:v>Evidence</x:v>
      </x:c>
    </x:row>
    <x:row r="5">
      <x:c r="A5" s="164" t="str">
        <x:v>AUCTANE_ARCC_BXSL_2025Q4</x:v>
      </x:c>
      <x:c r="B5" s="181" t="n">
        <x:v>46022</x:v>
      </x:c>
      <x:c r="C5" s="164" t="str">
        <x:v>Auctane</x:v>
      </x:c>
      <x:c r="D5" s="164" t="str">
        <x:v>First lien; SOFR +5.75%; maturity 10/2028; aggregate target rows</x:v>
      </x:c>
      <x:c r="E5" s="164" t="str">
        <x:v>ARCC</x:v>
      </x:c>
      <x:c r="F5" s="182" t="n">
        <x:v>46057.0450462963</x:v>
      </x:c>
      <x:c r="G5" s="164" t="str">
        <x:v>BXSL</x:v>
      </x:c>
      <x:c r="H5" s="182" t="n">
        <x:v>46078.25515046297</x:v>
      </x:c>
      <x:c r="I5" s="183" t="n">
        <x:f>(H5-F5)*24</x:f>
        <x:v>509.0425000000396</x:v>
      </x:c>
      <x:c r="J5" s="184" t="n">
        <x:v>143.4</x:v>
      </x:c>
      <x:c r="K5" s="184" t="n">
        <x:v>143.4</x:v>
      </x:c>
      <x:c r="L5" s="185" t="n">
        <x:f>K5/J5</x:f>
        <x:v>1</x:v>
      </x:c>
      <x:c r="M5" s="184" t="n">
        <x:v>281.57</x:v>
      </x:c>
      <x:c r="N5" s="184" t="n">
        <x:v>276.643</x:v>
      </x:c>
      <x:c r="O5" s="185" t="n">
        <x:f>N5/M5</x:f>
        <x:v>0.9825016869694924</x:v>
      </x:c>
      <x:c r="P5" s="184" t="n">
        <x:v>281.57</x:v>
      </x:c>
      <x:c r="Q5" s="184" t="n">
        <x:v>277.347</x:v>
      </x:c>
      <x:c r="R5" s="185" t="n">
        <x:f>Q5/P5</x:f>
        <x:v>0.9850019533330965</x:v>
      </x:c>
      <x:c r="S5" s="186" t="n">
        <x:f>ABS(R5-O5)*100</x:f>
        <x:v>0.250026636360412</x:v>
      </x:c>
      <x:c r="T5" s="186" t="n">
        <x:f>ABS(R5-L5)*100</x:f>
        <x:v>1.499804666690352</x:v>
      </x:c>
      <x:c r="U5" s="187" t="n">
        <x:f>IF(S5=0,NA(),1-T5/S5)</x:f>
        <x:v>-4.998579545454477</x:v>
      </x:c>
      <x:c r="V5" s="190" t="str">
        <x:v>YES</x:v>
      </x:c>
      <x:c r="W5" s="164" t="str">
        <x:v>Early ARCC 100% mark was worse than the unchanged BXSL baseline; lender-specific bias matters.</x:v>
      </x:c>
      <x:c r="X5" s="164" t="str">
        <x:v>ARCC Q4 SEC schedule; BXSL Q3/Q4 SEC schedules</x:v>
      </x:c>
    </x:row>
    <x:row r="6">
      <x:c r="A6" s="164" t="str">
        <x:v>MEDALLIA_BXSL_FSK_2025Q4</x:v>
      </x:c>
      <x:c r="B6" s="181" t="n">
        <x:v>46022</x:v>
      </x:c>
      <x:c r="C6" s="164" t="str">
        <x:v>Medallia Inc.</x:v>
      </x:c>
      <x:c r="D6" s="164" t="str">
        <x:v>First lien; SOFR +6.5%; 4% PIK; maturity 10/2028; aggregate BXSL rows</x:v>
      </x:c>
      <x:c r="E6" s="164" t="str">
        <x:v>BXSL</x:v>
      </x:c>
      <x:c r="F6" s="182" t="n">
        <x:v>46078.25515046297</x:v>
      </x:c>
      <x:c r="G6" s="164" t="str">
        <x:v>FSK</x:v>
      </x:c>
      <x:c r="H6" s="182" t="n">
        <x:v>46078.688993055555</x:v>
      </x:c>
      <x:c r="I6" s="183" t="n">
        <x:f>(H6-F6)*24</x:f>
        <x:v>10.412222222134005</x:v>
      </x:c>
      <x:c r="J6" s="184" t="n">
        <x:v>396.008</x:v>
      </x:c>
      <x:c r="K6" s="184" t="n">
        <x:v>307.896</x:v>
      </x:c>
      <x:c r="L6" s="185" t="n">
        <x:f>K6/J6</x:f>
        <x:v>0.7774994444556677</x:v>
      </x:c>
      <x:c r="M6" s="184" t="n">
        <x:v>232.9</x:v>
      </x:c>
      <x:c r="N6" s="184" t="n">
        <x:v>212.5</x:v>
      </x:c>
      <x:c r="O6" s="185" t="n">
        <x:f>N6/M6</x:f>
        <x:v>0.9124087591240876</x:v>
      </x:c>
      <x:c r="P6" s="184" t="n">
        <x:v>234.6</x:v>
      </x:c>
      <x:c r="Q6" s="184" t="n">
        <x:v>184.7</x:v>
      </x:c>
      <x:c r="R6" s="185" t="n">
        <x:f>Q6/P6</x:f>
        <x:v>0.7872975277067349</x:v>
      </x:c>
      <x:c r="S6" s="186" t="n">
        <x:f>ABS(R6-O6)*100</x:f>
        <x:v>12.51112314173527</x:v>
      </x:c>
      <x:c r="T6" s="186" t="n">
        <x:f>ABS(R6-L6)*100</x:f>
        <x:v>0.9798083251067236</x:v>
      </x:c>
      <x:c r="U6" s="187" t="n">
        <x:f>IF(S6=0,NA(),1-T6/S6)</x:f>
        <x:v>0.9216850226788811</x:v>
      </x:c>
      <x:c r="V6" s="190" t="str">
        <x:v>YES</x:v>
      </x:c>
      <x:c r="W6" s="164" t="str">
        <x:v>Early BXSL mark greatly improved the same-quarter FSK mark nowcast versus unchanged baseline.</x:v>
      </x:c>
      <x:c r="X6" s="164" t="str">
        <x:v>BXSL Q4 SEC schedule; FSK Q3/Q4 SEC schedules</x:v>
      </x:c>
    </x:row>
  </x:sheetData>
  <x:mergeCells>
    <x:mergeCell ref="A1:X1"/>
    <x:mergeCell ref="A2:X2"/>
  </x:mergeCells>
  <x:pageMargins left="0.7" right="0.7" top="0.75" bottom="0.75" header="0.3" footer="0.3"/>
</x:worksheet>
</file>

<file path=xl/worksheets/sheet17.xml><?xml version="1.0" encoding="utf-8"?>
<x:worksheet xmlns:x="http://schemas.openxmlformats.org/spreadsheetml/2006/main">
  <x:sheetFormatPr defaultRowHeight="15"/>
  <x:cols>
    <x:col min="1" max="1" width="22" hidden="0" customWidth="1"/>
    <x:col min="2" max="2" width="19" hidden="0" customWidth="1"/>
    <x:col min="3" max="3" width="9" hidden="0" customWidth="1"/>
    <x:col min="4" max="4" width="27"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3" hidden="0" customWidth="1"/>
    <x:col min="18" max="18" width="13" hidden="0" customWidth="1"/>
    <x:col min="19" max="19" width="44" hidden="0" customWidth="1"/>
    <x:col min="20" max="20" width="38" hidden="0" customWidth="1"/>
  </x:cols>
  <x:sheetData>
    <x:row r="1" ht="30" customHeight="1">
      <x:c r="A1" s="152" t="str">
        <x:v>Japanese forecast revisions — numeric recovery seed (fixed Day 1 rows)</x:v>
      </x:c>
      <x:c r="B1" s="152"/>
      <x:c r="C1" s="152"/>
      <x:c r="D1" s="152"/>
      <x:c r="E1" s="152"/>
      <x:c r="F1" s="152"/>
      <x:c r="G1" s="152"/>
      <x:c r="H1" s="152"/>
      <x:c r="I1" s="152"/>
      <x:c r="J1" s="152"/>
      <x:c r="K1" s="152"/>
      <x:c r="L1" s="152"/>
      <x:c r="M1" s="152"/>
      <x:c r="N1" s="152"/>
      <x:c r="O1" s="152"/>
      <x:c r="P1" s="152"/>
      <x:c r="Q1" s="152"/>
      <x:c r="R1" s="152"/>
      <x:c r="S1" s="152"/>
      <x:c r="T1" s="152"/>
    </x:row>
    <x:row r="2">
      <x:c r="A2" s="193" t="str">
        <x:v>Preliminary recovery test only. The 8 rows came from the pre-existing seed list, not a random statistical sample. Values are JPY millions unless the source states otherwise.</x:v>
      </x:c>
      <x:c r="B2" s="193"/>
      <x:c r="C2" s="193"/>
      <x:c r="D2" s="193"/>
      <x:c r="E2" s="193"/>
      <x:c r="F2" s="193"/>
      <x:c r="G2" s="193"/>
      <x:c r="H2" s="193"/>
      <x:c r="I2" s="193"/>
      <x:c r="J2" s="193"/>
      <x:c r="K2" s="193"/>
      <x:c r="L2" s="193"/>
      <x:c r="M2" s="193"/>
      <x:c r="N2" s="193"/>
      <x:c r="O2" s="193"/>
      <x:c r="P2" s="193"/>
      <x:c r="Q2" s="193"/>
      <x:c r="R2" s="193"/>
      <x:c r="S2" s="193"/>
      <x:c r="T2" s="193"/>
    </x:row>
    <x:row r="4">
      <x:c r="A4" s="161" t="str">
        <x:v>Event ID</x:v>
      </x:c>
      <x:c r="B4" s="161" t="str">
        <x:v>Timestamp JST</x:v>
      </x:c>
      <x:c r="C4" s="161" t="str">
        <x:v>Code</x:v>
      </x:c>
      <x:c r="D4" s="161" t="str">
        <x:v>Company</x:v>
      </x:c>
      <x:c r="E4" s="161" t="str">
        <x:v>Old revenue</x:v>
      </x:c>
      <x:c r="F4" s="161" t="str">
        <x:v>New revenue</x:v>
      </x:c>
      <x:c r="G4" s="161" t="str">
        <x:v>Revenue Δ</x:v>
      </x:c>
      <x:c r="H4" s="161" t="str">
        <x:v>Old operating</x:v>
      </x:c>
      <x:c r="I4" s="161" t="str">
        <x:v>New operating</x:v>
      </x:c>
      <x:c r="J4" s="161" t="str">
        <x:v>Operating Δ</x:v>
      </x:c>
      <x:c r="K4" s="161" t="str">
        <x:v>Old ordinary</x:v>
      </x:c>
      <x:c r="L4" s="161" t="str">
        <x:v>New ordinary</x:v>
      </x:c>
      <x:c r="M4" s="161" t="str">
        <x:v>Ordinary Δ</x:v>
      </x:c>
      <x:c r="N4" s="161" t="str">
        <x:v>Old net</x:v>
      </x:c>
      <x:c r="O4" s="161" t="str">
        <x:v>New net</x:v>
      </x:c>
      <x:c r="P4" s="161" t="str">
        <x:v>Net Δ</x:v>
      </x:c>
      <x:c r="Q4" s="161" t="str">
        <x:v>Recovery</x:v>
      </x:c>
      <x:c r="R4" s="161" t="str">
        <x:v>Source type</x:v>
      </x:c>
      <x:c r="S4" s="161" t="str">
        <x:v>Source URL</x:v>
      </x:c>
      <x:c r="T4" s="161" t="str">
        <x:v>Notes</x:v>
      </x:c>
    </x:row>
    <x:row r="5">
      <x:c r="A5" s="164" t="str">
        <x:v>JP_2294_20231212</x:v>
      </x:c>
      <x:c r="B5" s="194" t="n">
        <x:v>45272.645833333336</x:v>
      </x:c>
      <x:c r="C5" s="164" t="str">
        <x:v>2294</x:v>
      </x:c>
      <x:c r="D5" s="164" t="str">
        <x:v>Kakiyasu Honten</x:v>
      </x:c>
      <x:c r="E5" s="195" t="n">
        <x:v>38700</x:v>
      </x:c>
      <x:c r="F5" s="195" t="n">
        <x:v>37000</x:v>
      </x:c>
      <x:c r="G5" s="196" t="n">
        <x:f>IF(E5=0,NA(),F5/E5-1)</x:f>
        <x:v>-0.043927648578811374</x:v>
      </x:c>
      <x:c r="H5" s="195" t="n">
        <x:v>3050</x:v>
      </x:c>
      <x:c r="I5" s="195" t="n">
        <x:v>2400</x:v>
      </x:c>
      <x:c r="J5" s="196" t="n">
        <x:f>IF(H5=0,NA(),I5/H5-1)</x:f>
        <x:v>-0.21311475409836067</x:v>
      </x:c>
      <x:c r="K5" s="195" t="n">
        <x:v>3050</x:v>
      </x:c>
      <x:c r="L5" s="195" t="n">
        <x:v>2400</x:v>
      </x:c>
      <x:c r="M5" s="196" t="n">
        <x:f>IF(K5=0,NA(),L5/K5-1)</x:f>
        <x:v>-0.21311475409836067</x:v>
      </x:c>
      <x:c r="N5" s="195" t="n">
        <x:v>1900</x:v>
      </x:c>
      <x:c r="O5" s="195" t="n">
        <x:v>1500</x:v>
      </x:c>
      <x:c r="P5" s="196" t="n">
        <x:f>IF(N5=0,NA(),O5/N5-1)</x:f>
        <x:v>-0.21052631578947367</x:v>
      </x:c>
      <x:c r="Q5" s="199" t="str">
        <x:v>Recovered</x:v>
      </x:c>
      <x:c r="R5" s="164" t="str">
        <x:v>IRBank</x:v>
      </x:c>
      <x:c r="S5" s="164" t="str">
        <x:v>https://irbank.net/2294/140120231211501703</x:v>
      </x:c>
      <x:c r="T5" s="164" t="str">
        <x:v>Downward full-year revision</x:v>
      </x:c>
    </x:row>
    <x:row r="6">
      <x:c r="A6" s="164" t="str">
        <x:v>JP_2173_20231212</x:v>
      </x:c>
      <x:c r="B6" s="194" t="n">
        <x:v>45272.625</x:v>
      </x:c>
      <x:c r="C6" s="164" t="str">
        <x:v>2173</x:v>
      </x:c>
      <x:c r="D6" s="164" t="str">
        <x:v>Hakuten</x:v>
      </x:c>
      <x:c r="E6" s="195" t="n">
        <x:v>11000</x:v>
      </x:c>
      <x:c r="F6" s="195" t="n">
        <x:v>12900</x:v>
      </x:c>
      <x:c r="G6" s="196" t="n">
        <x:f>IF(E6=0,NA(),F6/E6-1)</x:f>
        <x:v>0.17272727272727262</x:v>
      </x:c>
      <x:c r="H6" s="195" t="n">
        <x:v>400</x:v>
      </x:c>
      <x:c r="I6" s="195" t="n">
        <x:v>690</x:v>
      </x:c>
      <x:c r="J6" s="196" t="n">
        <x:f>IF(H6=0,NA(),I6/H6-1)</x:f>
        <x:v>0.7250000000000001</x:v>
      </x:c>
      <x:c r="K6" s="195" t="n">
        <x:v>370</x:v>
      </x:c>
      <x:c r="L6" s="195" t="n">
        <x:v>695</x:v>
      </x:c>
      <x:c r="M6" s="196" t="n">
        <x:f>IF(K6=0,NA(),L6/K6-1)</x:f>
        <x:v>0.8783783783783783</x:v>
      </x:c>
      <x:c r="N6" s="195" t="n">
        <x:v>250</x:v>
      </x:c>
      <x:c r="O6" s="195" t="n">
        <x:v>390</x:v>
      </x:c>
      <x:c r="P6" s="196" t="n">
        <x:f>IF(N6=0,NA(),O6/N6-1)</x:f>
        <x:v>0.56</x:v>
      </x:c>
      <x:c r="Q6" s="199" t="str">
        <x:v>Recovered</x:v>
      </x:c>
      <x:c r="R6" s="164" t="str">
        <x:v>IRBank</x:v>
      </x:c>
      <x:c r="S6" s="164" t="str">
        <x:v>https://irbank.net/E05737/091220231211501221</x:v>
      </x:c>
      <x:c r="T6" s="164" t="str">
        <x:v>Upward; period length must be preserved exactly</x:v>
      </x:c>
    </x:row>
    <x:row r="7">
      <x:c r="A7" s="164" t="str">
        <x:v>JP_3657_20231212</x:v>
      </x:c>
      <x:c r="B7" s="194" t="n">
        <x:v>45272.645833333336</x:v>
      </x:c>
      <x:c r="C7" s="164" t="str">
        <x:v>3657</x:v>
      </x:c>
      <x:c r="D7" s="164" t="str">
        <x:v>Pole To Win Holdings</x:v>
      </x:c>
      <x:c r="E7" s="195" t="n">
        <x:v>47113</x:v>
      </x:c>
      <x:c r="F7" s="195" t="n">
        <x:v>46217</x:v>
      </x:c>
      <x:c r="G7" s="196" t="n">
        <x:f>IF(E7=0,NA(),F7/E7-1)</x:f>
        <x:v>-0.01901810540615112</x:v>
      </x:c>
      <x:c r="H7" s="195" t="n">
        <x:v>1744</x:v>
      </x:c>
      <x:c r="I7" s="195" t="n">
        <x:v>644</x:v>
      </x:c>
      <x:c r="J7" s="196" t="n">
        <x:f>IF(H7=0,NA(),I7/H7-1)</x:f>
        <x:v>-0.6307339449541285</x:v>
      </x:c>
      <x:c r="K7" s="195" t="n">
        <x:v>1776</x:v>
      </x:c>
      <x:c r="L7" s="195" t="n">
        <x:v>788</x:v>
      </x:c>
      <x:c r="M7" s="196" t="n">
        <x:f>IF(K7=0,NA(),L7/K7-1)</x:f>
        <x:v>-0.5563063063063063</x:v>
      </x:c>
      <x:c r="N7" s="195" t="n">
        <x:v>440</x:v>
      </x:c>
      <x:c r="O7" s="195" t="n">
        <x:v>-514</x:v>
      </x:c>
      <x:c r="P7" s="196" t="n">
        <x:f>IF(N7=0,NA(),O7/N7-1)</x:f>
        <x:v>-2.168181818181818</x:v>
      </x:c>
      <x:c r="Q7" s="199" t="str">
        <x:v>Recovered</x:v>
      </x:c>
      <x:c r="R7" s="164" t="str">
        <x:v>IRBank</x:v>
      </x:c>
      <x:c r="S7" s="164" t="str">
        <x:v>https://irbank.net/3657/ir</x:v>
      </x:c>
      <x:c r="T7" s="164" t="str">
        <x:v>Net income crosses zero</x:v>
      </x:c>
    </x:row>
    <x:row r="8">
      <x:c r="A8" s="164" t="str">
        <x:v>JP_7347_20231212</x:v>
      </x:c>
      <x:c r="B8" s="194" t="n">
        <x:v>45272.625</x:v>
      </x:c>
      <x:c r="C8" s="164" t="str">
        <x:v>7347</x:v>
      </x:c>
      <x:c r="D8" s="164" t="str">
        <x:v>Mercuria Holdings</x:v>
      </x:c>
      <x:c r="E8" s="195" t="n">
        <x:v>6700</x:v>
      </x:c>
      <x:c r="F8" s="195" t="n">
        <x:v>5800</x:v>
      </x:c>
      <x:c r="G8" s="196" t="n">
        <x:f>IF(E8=0,NA(),F8/E8-1)</x:f>
        <x:v>-0.13432835820895528</x:v>
      </x:c>
      <x:c r="H8" s="195" t="n">
        <x:v>2450</x:v>
      </x:c>
      <x:c r="I8" s="195" t="n">
        <x:v>1000</x:v>
      </x:c>
      <x:c r="J8" s="196" t="n">
        <x:f>IF(H8=0,NA(),I8/H8-1)</x:f>
        <x:v>-0.5918367346938775</x:v>
      </x:c>
      <x:c r="K8" s="195" t="n">
        <x:v>2450</x:v>
      </x:c>
      <x:c r="L8" s="195" t="n">
        <x:v>1200</x:v>
      </x:c>
      <x:c r="M8" s="196" t="n">
        <x:f>IF(K8=0,NA(),L8/K8-1)</x:f>
        <x:v>-0.5102040816326531</x:v>
      </x:c>
      <x:c r="N8" s="195" t="n">
        <x:v>1700</x:v>
      </x:c>
      <x:c r="O8" s="195" t="n">
        <x:v>800</x:v>
      </x:c>
      <x:c r="P8" s="196" t="n">
        <x:f>IF(N8=0,NA(),O8/N8-1)</x:f>
        <x:v>-0.5294117647058824</x:v>
      </x:c>
      <x:c r="Q8" s="199" t="str">
        <x:v>Recovered</x:v>
      </x:c>
      <x:c r="R8" s="164" t="str">
        <x:v>IRBank</x:v>
      </x:c>
      <x:c r="S8" s="164" t="str">
        <x:v>https://irbank.net/7347/140120231211501232</x:v>
      </x:c>
      <x:c r="T8" s="164" t="str">
        <x:v>Downward revision</x:v>
      </x:c>
    </x:row>
    <x:row r="9">
      <x:c r="A9" s="164" t="str">
        <x:v>JP_7494_20231212</x:v>
      </x:c>
      <x:c r="B9" s="194" t="n">
        <x:v>45272.625</x:v>
      </x:c>
      <x:c r="C9" s="164" t="str">
        <x:v>7494</x:v>
      </x:c>
      <x:c r="D9" s="164" t="str">
        <x:v>Konaka</x:v>
      </x:c>
      <x:c r="E9" s="195" t="n">
        <x:v>71194</x:v>
      </x:c>
      <x:c r="F9" s="195" t="n">
        <x:v>70015</x:v>
      </x:c>
      <x:c r="G9" s="196" t="n">
        <x:f>IF(E9=0,NA(),F9/E9-1)</x:f>
        <x:v>-0.01656038430204787</x:v>
      </x:c>
      <x:c r="H9" s="195" t="n">
        <x:v>1414</x:v>
      </x:c>
      <x:c r="I9" s="195" t="n">
        <x:v>683</x:v>
      </x:c>
      <x:c r="J9" s="196" t="n">
        <x:f>IF(H9=0,NA(),I9/H9-1)</x:f>
        <x:v>-0.5169731258840169</x:v>
      </x:c>
      <x:c r="K9" s="195" t="n">
        <x:v>1593</x:v>
      </x:c>
      <x:c r="L9" s="195" t="n">
        <x:v>887</x:v>
      </x:c>
      <x:c r="M9" s="196" t="n">
        <x:f>IF(K9=0,NA(),L9/K9-1)</x:f>
        <x:v>-0.4431889516635279</x:v>
      </x:c>
      <x:c r="N9" s="195" t="n">
        <x:v>777</x:v>
      </x:c>
      <x:c r="O9" s="195" t="n">
        <x:v>85</x:v>
      </x:c>
      <x:c r="P9" s="196" t="n">
        <x:f>IF(N9=0,NA(),O9/N9-1)</x:f>
        <x:v>-0.8906048906048906</x:v>
      </x:c>
      <x:c r="Q9" s="199" t="str">
        <x:v>Recovered</x:v>
      </x:c>
      <x:c r="R9" s="164" t="str">
        <x:v>IRBank</x:v>
      </x:c>
      <x:c r="S9" s="164" t="str">
        <x:v>https://irbank.net/7494/140120231209500019</x:v>
      </x:c>
      <x:c r="T9" s="164" t="str">
        <x:v>Severe net-income reduction</x:v>
      </x:c>
    </x:row>
    <x:row r="10">
      <x:c r="A10" s="164" t="str">
        <x:v>JP_7561_20231212</x:v>
      </x:c>
      <x:c r="B10" s="194" t="n">
        <x:v>45272.625</x:v>
      </x:c>
      <x:c r="C10" s="164" t="str">
        <x:v>7561</x:v>
      </x:c>
      <x:c r="D10" s="164" t="str">
        <x:v>HURXLEY</x:v>
      </x:c>
      <x:c r="E10" s="195" t="n">
        <x:v>44500</x:v>
      </x:c>
      <x:c r="F10" s="195" t="n">
        <x:v>47335</x:v>
      </x:c>
      <x:c r="G10" s="196" t="n">
        <x:f>IF(E10=0,NA(),F10/E10-1)</x:f>
        <x:v>0.06370786516853943</x:v>
      </x:c>
      <x:c r="H10" s="195" t="n">
        <x:v>1650</x:v>
      </x:c>
      <x:c r="I10" s="195" t="n">
        <x:v>2259</x:v>
      </x:c>
      <x:c r="J10" s="196" t="n">
        <x:f>IF(H10=0,NA(),I10/H10-1)</x:f>
        <x:v>0.36909090909090914</x:v>
      </x:c>
      <x:c r="K10" s="195" t="n">
        <x:v>1750</x:v>
      </x:c>
      <x:c r="L10" s="195" t="n">
        <x:v>2561</x:v>
      </x:c>
      <x:c r="M10" s="196" t="n">
        <x:f>IF(K10=0,NA(),L10/K10-1)</x:f>
        <x:v>0.4634285714285715</x:v>
      </x:c>
      <x:c r="N10" s="195" t="n">
        <x:v>1400</x:v>
      </x:c>
      <x:c r="O10" s="195" t="n">
        <x:v>2038</x:v>
      </x:c>
      <x:c r="P10" s="196" t="n">
        <x:f>IF(N10=0,NA(),O10/N10-1)</x:f>
        <x:v>0.45571428571428574</x:v>
      </x:c>
      <x:c r="Q10" s="199" t="str">
        <x:v>Recovered</x:v>
      </x:c>
      <x:c r="R10" s="164" t="str">
        <x:v>IRBank</x:v>
      </x:c>
      <x:c r="S10" s="164" t="str">
        <x:v>https://irbank.net/7561</x:v>
      </x:c>
      <x:c r="T10" s="164" t="str">
        <x:v>Upward revision; direct event URL still to be canonicalized</x:v>
      </x:c>
    </x:row>
    <x:row r="11">
      <x:c r="A11" s="164" t="str">
        <x:v>JP_7829_20231212</x:v>
      </x:c>
      <x:c r="B11" s="194" t="n">
        <x:v>45272.625</x:v>
      </x:c>
      <x:c r="C11" s="164" t="str">
        <x:v>7829</x:v>
      </x:c>
      <x:c r="D11" s="164" t="str">
        <x:v>Samantha Thavasa Japan</x:v>
      </x:c>
      <x:c r="E11" s="195" t="n">
        <x:v>26119</x:v>
      </x:c>
      <x:c r="F11" s="195" t="n">
        <x:v>23640</x:v>
      </x:c>
      <x:c r="G11" s="196" t="n">
        <x:f>IF(E11=0,NA(),F11/E11-1)</x:f>
        <x:v>-0.09491175006700103</x:v>
      </x:c>
      <x:c r="H11" s="195" t="n">
        <x:v>430</x:v>
      </x:c>
      <x:c r="I11" s="195" t="n">
        <x:v>-1050</x:v>
      </x:c>
      <x:c r="J11" s="196" t="n">
        <x:f>IF(H11=0,NA(),I11/H11-1)</x:f>
        <x:v>-3.441860465116279</x:v>
      </x:c>
      <x:c r="K11" s="195" t="n">
        <x:v>241</x:v>
      </x:c>
      <x:c r="L11" s="195" t="n">
        <x:v>-1225</x:v>
      </x:c>
      <x:c r="M11" s="196" t="n">
        <x:f>IF(K11=0,NA(),L11/K11-1)</x:f>
        <x:v>-6.08298755186722</x:v>
      </x:c>
      <x:c r="N11" s="195" t="n">
        <x:v>326</x:v>
      </x:c>
      <x:c r="O11" s="195" t="n">
        <x:v>-1140</x:v>
      </x:c>
      <x:c r="P11" s="196" t="n">
        <x:f>IF(N11=0,NA(),O11/N11-1)</x:f>
        <x:v>-4.4969325153374236</x:v>
      </x:c>
      <x:c r="Q11" s="199" t="str">
        <x:v>Recovered</x:v>
      </x:c>
      <x:c r="R11" s="164" t="str">
        <x:v>IRBank</x:v>
      </x:c>
      <x:c r="S11" s="164" t="str">
        <x:v>https://irbank.net/7829</x:v>
      </x:c>
      <x:c r="T11" s="164" t="str">
        <x:v>Profit metrics cross from positive to loss</x:v>
      </x:c>
    </x:row>
    <x:row r="12">
      <x:c r="A12" s="164" t="str">
        <x:v>JP_1887_20240115</x:v>
      </x:c>
      <x:c r="B12" s="194" t="n">
        <x:v>45306.708333333336</x:v>
      </x:c>
      <x:c r="C12" s="164" t="str">
        <x:v>1887</x:v>
      </x:c>
      <x:c r="D12" s="164" t="str">
        <x:v>Japan National Land Development</x:v>
      </x:c>
      <x:c r="E12" s="195" t="n">
        <x:v>149000</x:v>
      </x:c>
      <x:c r="F12" s="195" t="n">
        <x:v>139000</x:v>
      </x:c>
      <x:c r="G12" s="196" t="n">
        <x:f>IF(E12=0,NA(),F12/E12-1)</x:f>
        <x:v>-0.06711409395973156</x:v>
      </x:c>
      <x:c r="H12" s="195" t="n">
        <x:v>6500</x:v>
      </x:c>
      <x:c r="I12" s="195" t="n">
        <x:v>-5600</x:v>
      </x:c>
      <x:c r="J12" s="196" t="n">
        <x:f>IF(H12=0,NA(),I12/H12-1)</x:f>
        <x:v>-1.8615384615384616</x:v>
      </x:c>
      <x:c r="K12" s="195" t="n">
        <x:v>6500</x:v>
      </x:c>
      <x:c r="L12" s="195" t="n">
        <x:v>-5700</x:v>
      </x:c>
      <x:c r="M12" s="196" t="n">
        <x:f>IF(K12=0,NA(),L12/K12-1)</x:f>
        <x:v>-1.876923076923077</x:v>
      </x:c>
      <x:c r="N12" s="195" t="n">
        <x:v>4600</x:v>
      </x:c>
      <x:c r="O12" s="195" t="n">
        <x:v>-3800</x:v>
      </x:c>
      <x:c r="P12" s="196" t="n">
        <x:f>IF(N12=0,NA(),O12/N12-1)</x:f>
        <x:v>-1.8260869565217392</x:v>
      </x:c>
      <x:c r="Q12" s="199" t="str">
        <x:v>Recovered</x:v>
      </x:c>
      <x:c r="R12" s="164" t="str">
        <x:v>IRBank</x:v>
      </x:c>
      <x:c r="S12" s="164" t="str">
        <x:v>https://irbank.net/1887/140120240115515111</x:v>
      </x:c>
      <x:c r="T12" s="164" t="str">
        <x:v>Construction-loss driven downward revision</x:v>
      </x:c>
    </x:row>
  </x:sheetData>
  <x:mergeCells>
    <x:mergeCell ref="A1:T1"/>
    <x:mergeCell ref="A2:T2"/>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34" hidden="0" customWidth="1"/>
    <x:col min="3" max="3" width="44" hidden="0" customWidth="1"/>
    <x:col min="4" max="4" width="22" hidden="0" customWidth="1"/>
    <x:col min="5" max="5" width="45" hidden="0" customWidth="1"/>
    <x:col min="6" max="6" width="45" hidden="0" customWidth="1"/>
  </x:cols>
  <x:sheetData>
    <x:row r="1" ht="30" customHeight="1">
      <x:c r="A1" s="152" t="str">
        <x:v>Day 2 decision log — evidence versus interpretation</x:v>
      </x:c>
      <x:c r="B1" s="152"/>
      <x:c r="C1" s="152"/>
      <x:c r="D1" s="152"/>
      <x:c r="E1" s="152"/>
      <x:c r="F1" s="152"/>
    </x:row>
    <x:row r="3">
      <x:c r="A3" s="161" t="str">
        <x:v>Track</x:v>
      </x:c>
      <x:c r="B3" s="161" t="str">
        <x:v>Question</x:v>
      </x:c>
      <x:c r="C3" s="161" t="str">
        <x:v>Observed today</x:v>
      </x:c>
      <x:c r="D3" s="161" t="str">
        <x:v>Status</x:v>
      </x:c>
      <x:c r="E3" s="161" t="str">
        <x:v>What it means</x:v>
      </x:c>
      <x:c r="F3" s="161" t="str">
        <x:v>Next valid test</x:v>
      </x:c>
    </x:row>
    <x:row r="4">
      <x:c r="A4" s="164" t="str">
        <x:v>ShadowNAV</x:v>
      </x:c>
      <x:c r="B4" s="164" t="str">
        <x:v>Can one early co-holder improve a later mark nowcast?</x:v>
      </x:c>
      <x:c r="C4" s="164" t="str">
        <x:v>Yes in Medallia; no in Auctane.</x:v>
      </x:c>
      <x:c r="D4" s="200" t="str">
        <x:v>MIXED / CONTAMINATED</x:v>
      </x:c>
      <x:c r="E4" s="164" t="str">
        <x:v>Mechanism is plausible but naive copy-through is unsafe.</x:v>
      </x:c>
      <x:c r="F4" s="164" t="str">
        <x:v>Frozen random OOS sample after strict facility matching.</x:v>
      </x:c>
    </x:row>
    <x:row r="5">
      <x:c r="A5" s="164" t="str">
        <x:v>ShadowNAV</x:v>
      </x:c>
      <x:c r="B5" s="164" t="str">
        <x:v>Is borrower-name matching sufficient?</x:v>
      </x:c>
      <x:c r="C5" s="164" t="str">
        <x:v>No; several tranches/slices can exist for one borrower.</x:v>
      </x:c>
      <x:c r="D5" s="200" t="str">
        <x:v>FAIL FOR LOOSE MATCHING</x:v>
      </x:c>
      <x:c r="E5" s="164" t="str">
        <x:v>Use strict facility fingerprint and aggregate only economically identical slices.</x:v>
      </x:c>
      <x:c r="F5" s="164" t="str">
        <x:v>Locked 200-pair match benchmark; precision ≥95%.</x:v>
      </x:c>
    </x:row>
    <x:row r="6">
      <x:c r="A6" s="164" t="str">
        <x:v>ShadowNAV</x:v>
      </x:c>
      <x:c r="B6" s="164" t="str">
        <x:v>Does unchanged mark remain a serious baseline?</x:v>
      </x:c>
      <x:c r="C6" s="164" t="str">
        <x:v>Yes; it beat the early source in Auctane.</x:v>
      </x:c>
      <x:c r="D6" s="200" t="str">
        <x:v>CONFIRMED</x:v>
      </x:c>
      <x:c r="E6" s="164" t="str">
        <x:v>Any ML/LLM model must beat persistence OOS.</x:v>
      </x:c>
      <x:c r="F6" s="164" t="str">
        <x:v>Compare B0/B2/B3 on frozen sample.</x:v>
      </x:c>
    </x:row>
    <x:row r="7">
      <x:c r="A7" s="164" t="str">
        <x:v>Japan</x:v>
      </x:c>
      <x:c r="B7" s="164" t="str">
        <x:v>Can old/new numeric forecasts be recovered despite dead Yanoshin documents?</x:v>
      </x:c>
      <x:c r="C7" s="164" t="str">
        <x:v>8/8 investigated seed events recovered via IRBank.</x:v>
      </x:c>
      <x:c r="D7" s="200" t="str">
        <x:v>PRELIMINARY PASS</x:v>
      </x:c>
      <x:c r="E7" s="164" t="str">
        <x:v>The numeric-content blocker is materially reduced.</x:v>
      </x:c>
      <x:c r="F7" s="164" t="str">
        <x:v>Expand to 30–50 fixed events and keep failures in denominator.</x:v>
      </x:c>
    </x:row>
    <x:row r="8">
      <x:c r="A8" s="164" t="str">
        <x:v>Japan</x:v>
      </x:c>
      <x:c r="B8" s="164" t="str">
        <x:v>Can the language-treatment hypothesis be tested now?</x:v>
      </x:c>
      <x:c r="C8" s="164" t="str">
        <x:v>Not yet: segment, English status/lag, foreign ownership and prices missing.</x:v>
      </x:c>
      <x:c r="D8" s="200" t="str">
        <x:v>OPEN</x:v>
      </x:c>
      <x:c r="E8" s="164" t="str">
        <x:v>Numeric recovery alone is insufficient.</x:v>
      </x:c>
      <x:c r="F8" s="164" t="str">
        <x:v>Build event-level treatment table before any return analysis.</x:v>
      </x:c>
    </x:row>
    <x:row r="9">
      <x:c r="A9" s="164" t="str">
        <x:v>Overall</x:v>
      </x:c>
      <x:c r="B9" s="164" t="str">
        <x:v>Choose flagship today?</x:v>
      </x:c>
      <x:c r="C9" s="164" t="str">
        <x:v>No.</x:v>
      </x:c>
      <x:c r="D9" s="200" t="str">
        <x:v>NO DECISION</x:v>
      </x:c>
      <x:c r="E9" s="164" t="str">
        <x:v>Current evidence is exploratory and partly contaminated.</x:v>
      </x:c>
      <x:c r="F9" s="164" t="str">
        <x:v>Complete Day 2 gates, then Day 3 showdown.</x:v>
      </x:c>
    </x:row>
  </x:sheetData>
  <x:mergeCells>
    <x:mergeCell ref="A1:F1"/>
  </x:mergeCells>
  <x:pageMargins left="0.7" right="0.7" top="0.75" bottom="0.75" header="0.3" footer="0.3"/>
</x:worksheet>
</file>

<file path=xl/worksheets/sheet19.xml><?xml version="1.0" encoding="utf-8"?>
<x:worksheet xmlns:x="http://schemas.openxmlformats.org/spreadsheetml/2006/main">
  <x:sheetFormatPr defaultRowHeight="15"/>
  <x:cols>
    <x:col min="1" max="1" width="22" hidden="0" customWidth="1"/>
    <x:col min="2" max="2" width="34" hidden="0" customWidth="1"/>
    <x:col min="3" max="3" width="70" hidden="0" customWidth="1"/>
    <x:col min="4" max="4" width="55" hidden="0" customWidth="1"/>
  </x:cols>
  <x:sheetData>
    <x:row r="1" ht="30" customHeight="1">
      <x:c r="A1" s="152" t="str">
        <x:v>Day 2 source register</x:v>
      </x:c>
      <x:c r="B1" s="152"/>
      <x:c r="C1" s="152"/>
      <x:c r="D1" s="152"/>
    </x:row>
    <x:row r="3">
      <x:c r="A3" s="161" t="str">
        <x:v>Topic</x:v>
      </x:c>
      <x:c r="B3" s="161" t="str">
        <x:v>Source</x:v>
      </x:c>
      <x:c r="C3" s="161" t="str">
        <x:v>URL</x:v>
      </x:c>
      <x:c r="D3" s="161" t="str">
        <x:v>Use / limitation</x:v>
      </x:c>
    </x:row>
    <x:row r="4">
      <x:c r="A4" s="164" t="str">
        <x:v>SEC BDC flat files</x:v>
      </x:c>
      <x:c r="B4" s="164" t="str">
        <x:v>SEC Business Development Company Data Sets</x:v>
      </x:c>
      <x:c r="C4" s="164" t="str">
        <x:v>https://www.sec.gov/data-research/sec-markets-data/bdc-data-sets</x:v>
      </x:c>
      <x:c r="D4" s="164" t="str">
        <x:v>Official, free, XBRL-derived SOI data; use acceptance timestamps and preserve raw hashes.</x:v>
      </x:c>
    </x:row>
    <x:row r="5">
      <x:c r="A5" s="164" t="str">
        <x:v>SEC developer policy</x:v>
      </x:c>
      <x:c r="B5" s="164" t="str">
        <x:v>SEC Developer Resources</x:v>
      </x:c>
      <x:c r="C5" s="164" t="str">
        <x:v>https://www.sec.gov/about/developer-resources</x:v>
      </x:c>
      <x:c r="D5" s="164" t="str">
        <x:v>Automated access must identify the requester and stay within fair-access limits.</x:v>
      </x:c>
    </x:row>
    <x:row r="6">
      <x:c r="A6" s="164" t="str">
        <x:v>Medallia target actual</x:v>
      </x:c>
      <x:c r="B6" s="164" t="str">
        <x:v>FSK 2025-12-31 filing</x:v>
      </x:c>
      <x:c r="C6" s="164" t="str">
        <x:v>https://www.sec.gov/Archives/edgar/data/1422183/000162828026011734/fsk-20251231.htm</x:v>
      </x:c>
      <x:c r="D6" s="164" t="str">
        <x:v>Official target mark: par 234.6, FV 184.7.</x:v>
      </x:c>
    </x:row>
    <x:row r="7">
      <x:c r="A7" s="164" t="str">
        <x:v>Japan seed event</x:v>
      </x:c>
      <x:c r="B7" s="164" t="str">
        <x:v>Kakiyasu IRBank event</x:v>
      </x:c>
      <x:c r="C7" s="164" t="str">
        <x:v>https://irbank.net/2294/140120231211501703</x:v>
      </x:c>
      <x:c r="D7" s="164" t="str">
        <x:v>Third-party mirror; useful for recovery, but licensing/redistribution must be reviewed.</x:v>
      </x:c>
    </x:row>
    <x:row r="8">
      <x:c r="A8" s="164" t="str">
        <x:v>Japan seed event</x:v>
      </x:c>
      <x:c r="B8" s="164" t="str">
        <x:v>Hakuten IRBank parsed revision</x:v>
      </x:c>
      <x:c r="C8" s="164" t="str">
        <x:v>https://irbank.net/E05737/091220231211501221</x:v>
      </x:c>
      <x:c r="D8" s="164" t="str">
        <x:v>Parsed old/new values; preserve fiscal-period semantics.</x:v>
      </x:c>
    </x:row>
    <x:row r="9">
      <x:c r="A9" s="164" t="str">
        <x:v>Japan seed event</x:v>
      </x:c>
      <x:c r="B9" s="164" t="str">
        <x:v>Japan Land Development event</x:v>
      </x:c>
      <x:c r="C9" s="164" t="str">
        <x:v>https://irbank.net/1887/140120240115515111</x:v>
      </x:c>
      <x:c r="D9" s="164" t="str">
        <x:v>Event timestamp and source page.</x:v>
      </x:c>
    </x:row>
    <x:row r="10">
      <x:c r="A10" s="164" t="str">
        <x:v>Repository</x:v>
      </x:c>
      <x:c r="B10" s="164" t="str">
        <x:v>Private GitHub repo</x:v>
      </x:c>
      <x:c r="C10" s="164" t="str">
        <x:v>https://github.com/Sghe-x5/finance-research-showdown</x:v>
      </x:c>
      <x:c r="D10" s="164" t="str">
        <x:v>Canonical code/docs live in private repository.</x:v>
      </x:c>
    </x:row>
  </x:sheetData>
  <x:mergeCells>
    <x:mergeCell ref="A1:D1"/>
  </x:mergeCells>
  <x:pageMargins left="0.7" right="0.7" top="0.75" bottom="0.75" header="0.3" footer="0.3"/>
</x:worksheet>
</file>