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0736213e86406e" /></Relationships>
</file>

<file path=xl/workbook.xml><?xml version="1.0" encoding="utf-8"?>
<x:workbook xmlns:x="http://schemas.openxmlformats.org/spreadsheetml/2006/main">
  <x:sheets>
    <x:sheet xmlns:r="http://schemas.openxmlformats.org/officeDocument/2006/relationships" name="Dashboard" sheetId="1" r:id="Red7aabbcb1f94733"/>
    <x:sheet xmlns:r="http://schemas.openxmlformats.org/officeDocument/2006/relationships" name="Day1_Checklist" sheetId="2" r:id="Re93f72f16e134823"/>
    <x:sheet xmlns:r="http://schemas.openxmlformats.org/officeDocument/2006/relationships" name="Decision_Matrix" sheetId="3" r:id="R91f2ee07872d4ce9"/>
    <x:sheet xmlns:r="http://schemas.openxmlformats.org/officeDocument/2006/relationships" name="BDC_Universe" sheetId="4" r:id="Redf5a6ff8c2e4ca8"/>
    <x:sheet xmlns:r="http://schemas.openxmlformats.org/officeDocument/2006/relationships" name="BDC_Filing_Calendar" sheetId="5" r:id="Rf26f62a6b5f14316"/>
    <x:sheet xmlns:r="http://schemas.openxmlformats.org/officeDocument/2006/relationships" name="BDC_Window_Summary" sheetId="6" r:id="R831c0d1f80a3444f"/>
    <x:sheet xmlns:r="http://schemas.openxmlformats.org/officeDocument/2006/relationships" name="BDC_Candidate_Windows" sheetId="7" r:id="R8930e33370154ea2"/>
    <x:sheet xmlns:r="http://schemas.openxmlformats.org/officeDocument/2006/relationships" name="BDC_Facility_Schema" sheetId="8" r:id="Re1a8274bbd6c4ab6"/>
    <x:sheet xmlns:r="http://schemas.openxmlformats.org/officeDocument/2006/relationships" name="Japan_Archive_Test" sheetId="9" r:id="Rcbb8ab22f9084208"/>
    <x:sheet xmlns:r="http://schemas.openxmlformats.org/officeDocument/2006/relationships" name="Japan_Event_Sample" sheetId="10" r:id="R92c88ef4bfcc401c"/>
    <x:sheet xmlns:r="http://schemas.openxmlformats.org/officeDocument/2006/relationships" name="Japan_Data_Schema" sheetId="11" r:id="R2cbfc4a1669943f7"/>
    <x:sheet xmlns:r="http://schemas.openxmlformats.org/officeDocument/2006/relationships" name="Sources" sheetId="12" r:id="R862ed259b8a64498"/>
    <x:sheet xmlns:r="http://schemas.openxmlformats.org/officeDocument/2006/relationships" name="Lists" sheetId="13" r:id="Rfdc199b9642840da"/>
    <x:sheet xmlns:r="http://schemas.openxmlformats.org/officeDocument/2006/relationships" name="Day1_Reconciliation" sheetId="14" r:id="R8d114a217f574d17"/>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yyyy-mm-dd"/>
    <x:numFmt numFmtId="202" formatCode="0;[Red](0);-"/>
    <x:numFmt numFmtId="203" formatCode="0.00"/>
    <x:numFmt numFmtId="204" formatCode="0.000;[Red](0.000);-"/>
    <x:numFmt numFmtId="205" formatCode="0.0%;[Red](0.0%);-"/>
    <x:numFmt numFmtId="206" formatCode="yyyy-mm-dd hh:mm"/>
    <x:numFmt numFmtId="207" formatCode="0.0"/>
  </x:numFmts>
  <x:fonts count="13">
    <x:font>
      <x:sz val="11"/>
      <x:name val="Carlito"/>
    </x:font>
    <x:font>
      <x:b/>
      <x:sz val="10"/>
      <x:color rgb="FFFFFFFF"/>
      <x:name val="Carlito"/>
    </x:font>
    <x:font>
      <x:b/>
      <x:sz val="16"/>
      <x:color rgb="FFFFFFFF"/>
      <x:name val="Carlito"/>
    </x:font>
    <x:font>
      <x:i/>
      <x:sz val="11"/>
      <x:color rgb="FF475569"/>
      <x:name val="Carlito"/>
    </x:font>
    <x:font>
      <x:sz val="11"/>
      <x:color rgb="FF0000FF"/>
      <x:name val="Carlito"/>
    </x:font>
    <x:font>
      <x:b/>
      <x:sz val="11"/>
      <x:color rgb="FFFFFFFF"/>
      <x:name val="Carlito"/>
    </x:font>
    <x:font>
      <x:b/>
      <x:sz val="11"/>
      <x:color rgb="FF0B1F33"/>
      <x:name val="Carlito"/>
    </x:font>
    <x:font>
      <x:b/>
      <x:sz val="11"/>
      <x:color rgb="FF008000"/>
      <x:name val="Carlito"/>
    </x:font>
    <x:font>
      <x:b/>
      <x:sz val="18"/>
      <x:color rgb="FF008000"/>
      <x:name val="Carlito"/>
    </x:font>
    <x:font>
      <x:i/>
      <x:sz val="9"/>
      <x:color rgb="FF475569"/>
      <x:name val="Carlito"/>
    </x:font>
    <x:font>
      <x:b/>
      <x:sz val="11"/>
      <x:color rgb="FF15803D"/>
      <x:name val="Carlito"/>
    </x:font>
    <x:font>
      <x:b/>
      <x:sz val="14"/>
      <x:color rgb="FFFFFFFF"/>
      <x:name val="Carlito"/>
    </x:font>
    <x:font>
      <x:i/>
      <x:sz val="11"/>
      <x:color rgb="FF1F1F1F"/>
      <x:name val="Carlito"/>
    </x:font>
  </x:fonts>
  <x:fills count="12">
    <x:fill>
      <x:patternFill patternType="none"/>
    </x:fill>
    <x:fill>
      <x:patternFill patternType="gray125"/>
    </x:fill>
    <x:fill>
      <x:patternFill patternType="solid">
        <x:fgColor rgb="FF0F766E"/>
      </x:patternFill>
    </x:fill>
    <x:fill>
      <x:patternFill patternType="solid">
        <x:fgColor rgb="FF0B1F33"/>
      </x:patternFill>
    </x:fill>
    <x:fill>
      <x:patternFill patternType="solid">
        <x:fgColor rgb="FFF8FAFC"/>
      </x:patternFill>
    </x:fill>
    <x:fill>
      <x:patternFill patternType="solid">
        <x:fgColor rgb="FF1F4E78"/>
      </x:patternFill>
    </x:fill>
    <x:fill>
      <x:patternFill patternType="solid">
        <x:fgColor rgb="FFFFF2CC"/>
      </x:patternFill>
    </x:fill>
    <x:fill>
      <x:patternFill patternType="solid">
        <x:fgColor rgb="FFE2E8F0"/>
      </x:patternFill>
    </x:fill>
    <x:fill>
      <x:patternFill patternType="solid">
        <x:fgColor rgb="FFDCFCE7"/>
      </x:patternFill>
    </x:fill>
    <x:fill>
      <x:patternFill patternType="solid">
        <x:fgColor rgb="FF1F4E78"/>
      </x:patternFill>
    </x:fill>
    <x:fill>
      <x:patternFill patternType="solid">
        <x:fgColor rgb="FFD9EAF7"/>
      </x:patternFill>
    </x:fill>
    <x:fill>
      <x:patternFill patternType="solid">
        <x:fgColor rgb="FF5B9BD5"/>
      </x:patternFill>
    </x:fill>
  </x:fills>
  <x:borders count="11">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left"/>
    </x:xf>
    <x:xf numFmtId="0" fontId="5" fillId="5" borderId="1" xfId="0" applyNumberFormat="1" applyFont="1" applyFill="1" applyBorder="1" applyAlignment="1">
      <x:alignment horizontal="left" vertical="center"/>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6" fontId="0" fillId="0" borderId="0" xfId="0" applyNumberFormat="1" applyFont="1" applyFill="1" applyBorder="1" applyAlignment="1">
      <x:alignment wrapText="1"/>
    </x:xf>
    <x:xf numFmtId="206" fontId="0" fillId="0" borderId="1" xfId="0" applyNumberFormat="1" applyFont="1" applyFill="1" applyBorder="1" applyAlignment="1">
      <x:alignment wrapText="1"/>
    </x:xf>
    <x:xf numFmtId="207" fontId="0" fillId="0" borderId="0" xfId="0" applyNumberFormat="1" applyFont="1" applyFill="1" applyBorder="1"/>
    <x:xf numFmtId="207" fontId="0" fillId="0" borderId="1" xfId="0" applyNumberFormat="1" applyFont="1" applyFill="1" applyBorder="1"/>
    <x:xf numFmtId="207" fontId="0" fillId="0" borderId="0" xfId="0" applyNumberFormat="1" applyFont="1" applyFill="1" applyBorder="1" applyAlignment="1">
      <x:alignment wrapText="1"/>
    </x:xf>
    <x:xf numFmtId="207" fontId="0" fillId="0" borderId="1"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left"/>
    </x:xf>
    <x:xf numFmtId="0" fontId="6" fillId="7" borderId="0" xfId="0" applyNumberFormat="1" applyFont="1" applyFill="1" applyBorder="1" applyAlignment="1">
      <x:alignment horizontal="left"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left"/>
    </x:xf>
    <x:xf numFmtId="0" fontId="6" fillId="7" borderId="1" xfId="0" applyNumberFormat="1" applyFont="1" applyFill="1" applyBorder="1" applyAlignment="1">
      <x:alignment horizontal="left" vertical="center"/>
    </x:xf>
    <x:xf numFmtId="207" fontId="6" fillId="7" borderId="0" xfId="0" applyNumberFormat="1" applyFont="1" applyFill="1" applyBorder="1" applyAlignment="1">
      <x:alignment horizontal="left" vertical="center"/>
    </x:xf>
    <x:xf numFmtId="207" fontId="6" fillId="7" borderId="1" xfId="0" applyNumberFormat="1" applyFont="1" applyFill="1" applyBorder="1" applyAlignment="1">
      <x:alignment horizontal="left" vertical="center"/>
    </x:xf>
    <x:xf numFmtId="207" fontId="7" fillId="7" borderId="0" xfId="0" applyNumberFormat="1" applyFont="1" applyFill="1" applyBorder="1" applyAlignment="1">
      <x:alignment horizontal="left" vertical="center"/>
    </x:xf>
    <x:xf numFmtId="207" fontId="7" fillId="7" borderId="1" xfId="0" applyNumberFormat="1" applyFont="1" applyFill="1" applyBorder="1" applyAlignment="1">
      <x:alignment horizontal="left" vertical="center"/>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8" fillId="4" borderId="0" xfId="0" applyNumberFormat="1" applyFont="1" applyFill="1" applyBorder="1"/>
    <x:xf numFmtId="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0" fontId="8" fillId="4" borderId="1" xfId="0" applyNumberFormat="1" applyFont="1" applyFill="1" applyBorder="1"/>
    <x:xf numFmtId="0" fontId="8" fillId="4" borderId="1" xfId="0" applyNumberFormat="1" applyFont="1" applyFill="1" applyBorder="1" applyAlignment="1">
      <x:alignment horizontal="center"/>
    </x:xf>
    <x:xf numFmtId="0" fontId="8" fillId="4" borderId="1"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horizontal="center"/>
    </x:xf>
    <x:xf numFmtId="0" fontId="9" fillId="4" borderId="0" xfId="0" applyNumberFormat="1" applyFont="1" applyFill="1" applyBorder="1" applyAlignment="1">
      <x:alignment horizontal="center" vertical="center"/>
    </x:xf>
    <x:xf numFmtId="0" fontId="9" fillId="4" borderId="1" xfId="0" applyNumberFormat="1" applyFont="1" applyFill="1" applyBorder="1"/>
    <x:xf numFmtId="0" fontId="9" fillId="4" borderId="1" xfId="0" applyNumberFormat="1" applyFont="1" applyFill="1" applyBorder="1" applyAlignment="1">
      <x:alignment horizontal="center"/>
    </x:xf>
    <x:xf numFmtId="0" fontId="9" fillId="4" borderId="1" xfId="0" applyNumberFormat="1" applyFont="1" applyFill="1" applyBorder="1" applyAlignment="1">
      <x:alignment horizontal="center" vertical="center"/>
    </x:xf>
    <x:xf numFmtId="207" fontId="7" fillId="0" borderId="0" xfId="0" applyNumberFormat="1" applyFont="1" applyFill="1" applyBorder="1"/>
    <x:xf numFmtId="207" fontId="7" fillId="0"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10" fillId="8" borderId="0" xfId="0" applyNumberFormat="1" applyFont="1" applyFill="1" applyBorder="1"/>
    <x:xf numFmtId="0" fontId="10" fillId="8" borderId="1" xfId="0" applyNumberFormat="1" applyFont="1" applyFill="1" applyBorder="1"/>
    <x:xf numFmtId="0" fontId="2" fillId="3" borderId="0"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horizontal="left" wrapText="1"/>
    </x:xf>
    <x:xf numFmtId="0" fontId="6" fillId="7" borderId="0" xfId="0" applyNumberFormat="1" applyFont="1" applyFill="1" applyBorder="1" applyAlignment="1">
      <x:alignment horizontal="left" vertical="center" wrapText="1"/>
    </x:xf>
    <x:xf numFmtId="0" fontId="0" fillId="7" borderId="1" xfId="0" applyNumberFormat="1" applyFont="1" applyFill="1" applyBorder="1" applyAlignment="1">
      <x:alignment wrapText="1"/>
    </x:xf>
    <x:xf numFmtId="0" fontId="6" fillId="7" borderId="1" xfId="0" applyNumberFormat="1" applyFont="1" applyFill="1" applyBorder="1" applyAlignment="1">
      <x:alignment wrapText="1"/>
    </x:xf>
    <x:xf numFmtId="0" fontId="6" fillId="7" borderId="1" xfId="0" applyNumberFormat="1" applyFont="1" applyFill="1" applyBorder="1" applyAlignment="1">
      <x:alignment horizontal="left" wrapText="1"/>
    </x:xf>
    <x:xf numFmtId="0" fontId="6" fillId="7" borderId="1"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horizontal="center"/>
    </x:xf>
    <x:xf numFmtId="0" fontId="11" fillId="9" borderId="0" xfId="0" applyNumberFormat="1" applyFont="1" applyFill="1" applyBorder="1" applyAlignment="1">
      <x:alignment horizontal="center" vertical="center"/>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horizontal="center" wrapText="1"/>
    </x:xf>
    <x:xf numFmtId="0" fontId="5" fillId="11" borderId="0" xfId="0" applyNumberFormat="1" applyFont="1" applyFill="1" applyBorder="1" applyAlignment="1">
      <x:alignment horizontal="center" vertical="center"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cellXfs>
  <x:cellStyles count="1">
    <x:cellStyle name="Normal" xfId="0"/>
  </x:cellStyles>
  <x:dxfs count="12">
    <x:dxf>
      <x:font>
        <x:b/>
        <x:color rgb="FF15803D"/>
      </x:font>
      <x:fill>
        <x:patternFill>
          <x:bgColor rgb="FFDCFCE7"/>
        </x:patternFill>
      </x:fill>
    </x:dxf>
    <x:dxf>
      <x:font>
        <x:b/>
        <x:color rgb="FFB45309"/>
      </x:font>
      <x:fill>
        <x:patternFill>
          <x:bgColor rgb="FFFEF3C7"/>
        </x:patternFill>
      </x:fill>
    </x:dxf>
    <x:dxf>
      <x:font>
        <x:b/>
        <x:color rgb="FFB91C1C"/>
      </x:font>
      <x:fill>
        <x:patternFill>
          <x:bgColor rgb="FFFEE2E2"/>
        </x:patternFill>
      </x:fill>
    </x:dxf>
    <x:dxf>
      <x:font>
        <x:color rgb="FF15803D"/>
      </x:font>
      <x:fill>
        <x:patternFill>
          <x:bgColor rgb="FFDCFCE7"/>
        </x:patternFill>
      </x:fill>
    </x:dxf>
    <x:dxf>
      <x:fill>
        <x:patternFill>
          <x:bgColor rgb="FFFEF3C7"/>
        </x:patternFill>
      </x:fill>
    </x:dxf>
    <x:dxf>
      <x:font>
        <x:b/>
        <x:color rgb="FF15803D"/>
      </x:font>
      <x:fill>
        <x:patternFill>
          <x:bgColor rgb="FFDCFCE7"/>
        </x:patternFill>
      </x:fill>
    </x:dxf>
    <x:dxf>
      <x:font>
        <x:b/>
        <x:color rgb="FF15803D"/>
      </x:font>
      <x:fill>
        <x:patternFill>
          <x:bgColor rgb="FFDCFCE7"/>
        </x:patternFill>
      </x:fill>
    </x:dxf>
    <x:dxf>
      <x:font>
        <x:b/>
        <x:color rgb="FFB45309"/>
      </x:font>
      <x:fill>
        <x:patternFill>
          <x:bgColor rgb="FFFEF3C7"/>
        </x:patternFill>
      </x:fill>
    </x:dxf>
    <x:dxf>
      <x:font>
        <x:b/>
        <x:color rgb="FFB91C1C"/>
      </x:font>
      <x:fill>
        <x:patternFill>
          <x:bgColor rgb="FFFEE2E2"/>
        </x:patternFill>
      </x:fill>
    </x:dxf>
    <x:dxf>
      <x:font>
        <x:color rgb="FF375623"/>
      </x:font>
      <x:fill>
        <x:patternFill patternType="solid">
          <x:bgColor rgb="FFE2F0D9"/>
        </x:patternFill>
      </x:fill>
    </x:dxf>
    <x:dxf>
      <x:font>
        <x:color rgb="FF9C0006"/>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4d0dbf1bf248c1" /><Relationship Type="http://schemas.openxmlformats.org/officeDocument/2006/relationships/theme" Target="/xl/theme/theme1.xml" Id="R22acf11fe5c64f62" /><Relationship Type="http://schemas.openxmlformats.org/officeDocument/2006/relationships/sharedStrings" Target="/xl/sharedStrings.xml" Id="R3d20a4316922462e" /><Relationship Type="http://schemas.openxmlformats.org/officeDocument/2006/relationships/worksheet" Target="/xl/worksheets/sheet1.xml" Id="Red7aabbcb1f94733" /><Relationship Type="http://schemas.openxmlformats.org/officeDocument/2006/relationships/worksheet" Target="/xl/worksheets/sheet2.xml" Id="Re93f72f16e134823" /><Relationship Type="http://schemas.openxmlformats.org/officeDocument/2006/relationships/worksheet" Target="/xl/worksheets/sheet3.xml" Id="R91f2ee07872d4ce9" /><Relationship Type="http://schemas.openxmlformats.org/officeDocument/2006/relationships/worksheet" Target="/xl/worksheets/sheet4.xml" Id="Redf5a6ff8c2e4ca8" /><Relationship Type="http://schemas.openxmlformats.org/officeDocument/2006/relationships/worksheet" Target="/xl/worksheets/sheet5.xml" Id="Rf26f62a6b5f14316" /><Relationship Type="http://schemas.openxmlformats.org/officeDocument/2006/relationships/worksheet" Target="/xl/worksheets/sheet6.xml" Id="R831c0d1f80a3444f" /><Relationship Type="http://schemas.openxmlformats.org/officeDocument/2006/relationships/worksheet" Target="/xl/worksheets/sheet7.xml" Id="R8930e33370154ea2" /><Relationship Type="http://schemas.openxmlformats.org/officeDocument/2006/relationships/worksheet" Target="/xl/worksheets/sheet8.xml" Id="Re1a8274bbd6c4ab6" /><Relationship Type="http://schemas.openxmlformats.org/officeDocument/2006/relationships/worksheet" Target="/xl/worksheets/sheet9.xml" Id="Rcbb8ab22f9084208" /><Relationship Type="http://schemas.openxmlformats.org/officeDocument/2006/relationships/worksheet" Target="/xl/worksheets/sheet10.xml" Id="R92c88ef4bfcc401c" /><Relationship Type="http://schemas.openxmlformats.org/officeDocument/2006/relationships/worksheet" Target="/xl/worksheets/sheet11.xml" Id="R2cbfc4a1669943f7" /><Relationship Type="http://schemas.openxmlformats.org/officeDocument/2006/relationships/worksheet" Target="/xl/worksheets/sheet12.xml" Id="R862ed259b8a64498" /><Relationship Type="http://schemas.openxmlformats.org/officeDocument/2006/relationships/worksheet" Target="/xl/worksheets/sheet13.xml" Id="Rfdc199b9642840da" /><Relationship Type="http://schemas.openxmlformats.org/officeDocument/2006/relationships/worksheet" Target="/xl/worksheets/sheet14.xml" Id="R8d114a217f574d17"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72688143884a34" /><Relationship Type="http://schemas.openxmlformats.org/officeDocument/2006/relationships/chart" Target="/xl/drawings/charts/chart2.xml" Id="R3a8ee9dbff3c487b" /></Relationships>
</file>

<file path=xl/drawings/_rels/drawing2.xml.rels>&#65279;<?xml version="1.0" encoding="utf-8"?><Relationships xmlns="http://schemas.openxmlformats.org/package/2006/relationships"><Relationship Type="http://schemas.openxmlformats.org/officeDocument/2006/relationships/chart" Target="/xl/drawings/charts/chart3.xml" Id="R19d5ffb6bbc947e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Day 1 research-product score</a:t>
            </a:r>
          </a:p>
        </c:rich>
      </c:tx>
    </c:title>
    <c:plotArea>
      <c:barChart>
        <c:barDir val="col"/>
        <c:varyColors val="0"/>
        <c:ser>
          <c:idx val="0"/>
          <c:order val="0"/>
          <c:tx>
            <c:v>Weighted score</c:v>
          </c:tx>
          <c:cat>
            <c:strRef>
              <c:f>'Dashboard'!$A$23:$A$24</c:f>
              <c:strCache>
                <c:ptCount val="0"/>
              </c:strCache>
            </c:strRef>
          </c:cat>
          <c:val>
            <c:numRef>
              <c:f>'Dashboard'!$B$23:$B$24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BDC structural windows by minimum length</a:t>
            </a:r>
          </a:p>
        </c:rich>
      </c:tx>
    </c:title>
    <c:plotArea>
      <c:lineChart>
        <c:grouping val="standard"/>
        <c:varyColors val="0"/>
        <c:ser>
          <c:idx val="0"/>
          <c:order val="0"/>
          <c:tx>
            <c:v>≥3d</c:v>
          </c:tx>
          <c:marker>
            <c:symbol val="none"/>
          </c:marker>
          <c:cat>
            <c:strRef>
              <c:f>'Dashboard'!$N$29:$N$32</c:f>
              <c:strCache>
                <c:ptCount val="0"/>
              </c:strCache>
            </c:strRef>
          </c:cat>
          <c:val>
            <c:numRef>
              <c:f>'Dashboard'!$O$29:$O$32</c:f>
              <c:numCache>
                <c:formatCode>General</c:formatCode>
                <c:ptCount val="0"/>
              </c:numCache>
            </c:numRef>
          </c:val>
        </c:ser>
        <c:ser>
          <c:idx val="1"/>
          <c:order val="1"/>
          <c:tx>
            <c:v>≥5d</c:v>
          </c:tx>
          <c:marker>
            <c:symbol val="none"/>
          </c:marker>
          <c:cat>
            <c:strRef>
              <c:f>'Dashboard'!$N$29:$N$32</c:f>
              <c:strCache>
                <c:ptCount val="0"/>
              </c:strCache>
            </c:strRef>
          </c:cat>
          <c:val>
            <c:numRef>
              <c:f>'Dashboard'!$P$29:$P$32</c:f>
              <c:numCache>
                <c:formatCode>General</c:formatCode>
                <c:ptCount val="0"/>
              </c:numCache>
            </c:numRef>
          </c:val>
        </c:ser>
        <c:ser>
          <c:idx val="2"/>
          <c:order val="2"/>
          <c:tx>
            <c:v>≥7d</c:v>
          </c:tx>
          <c:marker>
            <c:symbol val="none"/>
          </c:marker>
          <c:cat>
            <c:strRef>
              <c:f>'Dashboard'!$N$29:$N$32</c:f>
              <c:strCache>
                <c:ptCount val="0"/>
              </c:strCache>
            </c:strRef>
          </c:cat>
          <c:val>
            <c:numRef>
              <c:f>'Dashboard'!$Q$29:$Q$32</c:f>
              <c:numCache>
                <c:formatCode>General</c:formatCode>
                <c:ptCount val="0"/>
              </c:numCache>
            </c:numRef>
          </c:val>
        </c:ser>
        <c:ser>
          <c:idx val="3"/>
          <c:order val="3"/>
          <c:tx>
            <c:v>≥10d</c:v>
          </c:tx>
          <c:marker>
            <c:symbol val="none"/>
          </c:marker>
          <c:cat>
            <c:strRef>
              <c:f>'Dashboard'!$N$29:$N$32</c:f>
              <c:strCache>
                <c:ptCount val="0"/>
              </c:strCache>
            </c:strRef>
          </c:cat>
          <c:val>
            <c:numRef>
              <c:f>'Dashboard'!$R$29:$R$32</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Структурные source→listed окна по кварталам</a:t>
            </a:r>
          </a:p>
        </c:rich>
      </c:tx>
    </c:title>
    <c:plotArea>
      <c:lineChart>
        <c:grouping val="standard"/>
        <c:varyColors val="0"/>
        <c:ser>
          <c:idx val="0"/>
          <c:order val="0"/>
          <c:tx>
            <c:v>≥3d</c:v>
          </c:tx>
          <c:marker>
            <c:symbol val="none"/>
          </c:marker>
          <c:cat>
            <c:strRef>
              <c:f>'BDC_Window_Summary'!$R$5:$R$8</c:f>
              <c:strCache>
                <c:ptCount val="0"/>
              </c:strCache>
            </c:strRef>
          </c:cat>
          <c:val>
            <c:numRef>
              <c:f>'BDC_Window_Summary'!$S$5:$S$8</c:f>
              <c:numCache>
                <c:formatCode>General</c:formatCode>
                <c:ptCount val="0"/>
              </c:numCache>
            </c:numRef>
          </c:val>
        </c:ser>
        <c:ser>
          <c:idx val="1"/>
          <c:order val="1"/>
          <c:tx>
            <c:v>≥5d</c:v>
          </c:tx>
          <c:marker>
            <c:symbol val="none"/>
          </c:marker>
          <c:cat>
            <c:strRef>
              <c:f>'BDC_Window_Summary'!$R$5:$R$8</c:f>
              <c:strCache>
                <c:ptCount val="0"/>
              </c:strCache>
            </c:strRef>
          </c:cat>
          <c:val>
            <c:numRef>
              <c:f>'BDC_Window_Summary'!$T$5:$T$8</c:f>
              <c:numCache>
                <c:formatCode>General</c:formatCode>
                <c:ptCount val="0"/>
              </c:numCache>
            </c:numRef>
          </c:val>
        </c:ser>
        <c:ser>
          <c:idx val="2"/>
          <c:order val="2"/>
          <c:tx>
            <c:v>≥7d</c:v>
          </c:tx>
          <c:marker>
            <c:symbol val="none"/>
          </c:marker>
          <c:cat>
            <c:strRef>
              <c:f>'BDC_Window_Summary'!$R$5:$R$8</c:f>
              <c:strCache>
                <c:ptCount val="0"/>
              </c:strCache>
            </c:strRef>
          </c:cat>
          <c:val>
            <c:numRef>
              <c:f>'BDC_Window_Summary'!$U$5:$U$8</c:f>
              <c:numCache>
                <c:formatCode>General</c:formatCode>
                <c:ptCount val="0"/>
              </c:numCache>
            </c:numRef>
          </c:val>
        </c:ser>
        <c:ser>
          <c:idx val="3"/>
          <c:order val="3"/>
          <c:tx>
            <c:v>≥10d</c:v>
          </c:tx>
          <c:marker>
            <c:symbol val="none"/>
          </c:marker>
          <c:cat>
            <c:strRef>
              <c:f>'BDC_Window_Summary'!$R$5:$R$8</c:f>
              <c:strCache>
                <c:ptCount val="0"/>
              </c:strCache>
            </c:strRef>
          </c:cat>
          <c:val>
            <c:numRef>
              <c:f>'BDC_Window_Summary'!$V$5:$V$8</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6</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72688143884a34"/>
        </a:graphicData>
      </a:graphic>
    </xdr:graphicFrame>
    <xdr:clientData/>
  </xdr:twoCellAnchor>
  <xdr:twoCellAnchor>
    <xdr:from>
      <xdr:col>6</xdr:col>
      <xdr:colOff>0</xdr:colOff>
      <xdr:row>27</xdr:row>
      <xdr:rowOff>0</xdr:rowOff>
    </xdr:from>
    <xdr:to>
      <xdr:col>12</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8ee9dbff3c487b"/>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10</xdr:row>
      <xdr:rowOff>0</xdr:rowOff>
    </xdr:from>
    <xdr:to>
      <xdr:col>16</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d5ffb6bbc947e1"/>
        </a:graphicData>
      </a:graphic>
    </xdr:graphicFrame>
    <xdr:clientData/>
  </xdr:twoCellAnchor>
</xdr:wsDr>
</file>

<file path=xl/tables/table1.xml><?xml version="1.0" encoding="utf-8"?>
<x:table xmlns:x="http://schemas.openxmlformats.org/spreadsheetml/2006/main" id="11" name="Day1ChecklistTable" displayName="Day1ChecklistTable" ref="A4:H18" headerRowCount="1" totalsRowCount="0" totalsRowShown="0">
  <x:tableColumns count="8">
    <x:tableColumn id="1" name="Track"/>
    <x:tableColumn id="2" name="Workstream"/>
    <x:tableColumn id="3" name="Day 1 / next task"/>
    <x:tableColumn id="4" name="Status"/>
    <x:tableColumn id="5" name="Owner"/>
    <x:tableColumn id="6" name="Result today"/>
    <x:tableColumn id="7" name="Next action"/>
    <x:tableColumn id="8" name="Evidence sheet"/>
  </x:tableColumns>
  <x:tableStyleInfo name="TableStyleMedium2" showFirstColumn="0" showLastColumn="0" showRowStripes="1" showColumnStripes="0"/>
</x:table>
</file>

<file path=xl/tables/table2.xml><?xml version="1.0" encoding="utf-8"?>
<x:table xmlns:x="http://schemas.openxmlformats.org/spreadsheetml/2006/main" id="12" name="DecisionMatrixTable" displayName="DecisionMatrixTable" ref="A4:F14" headerRowCount="1" totalsRowCount="0" totalsRowShown="0">
  <x:tableColumns count="6">
    <x:tableColumn id="1" name="Criterion"/>
    <x:tableColumn id="2" name="ShadowNAV score"/>
    <x:tableColumn id="3" name="Japan score"/>
    <x:tableColumn id="4" name="Day 1 evidence"/>
    <x:tableColumn id="5" name="Current lead"/>
    <x:tableColumn id="6" name="Weight"/>
  </x:tableColumns>
  <x:tableStyleInfo name="TableStyleMedium2" showFirstColumn="0" showLastColumn="0" showRowStripes="1" showColumnStripes="0"/>
</x:table>
</file>

<file path=xl/tables/table3.xml><?xml version="1.0" encoding="utf-8"?>
<x:table xmlns:x="http://schemas.openxmlformats.org/spreadsheetml/2006/main" id="2" name="BDCUniverseTable" displayName="BDCUniverseTable" ref="A4:G24" headerRowCount="1" totalsRowCount="0" totalsRowShown="0">
  <x:tableColumns count="7">
    <x:tableColumn id="1" name="Ticker"/>
    <x:tableColumn id="2" name="CIK"/>
    <x:tableColumn id="3" name="Registrant"/>
    <x:tableColumn id="4" name="Manager"/>
    <x:tableColumn id="5" name="Listing status"/>
    <x:tableColumn id="6" name="Роль в пилоте"/>
    <x:tableColumn id="7" name="Day 1 note"/>
  </x:tableColumns>
  <x:tableStyleInfo name="TableStyleMedium2" showFirstColumn="0" showLastColumn="0" showRowStripes="1" showColumnStripes="0"/>
</x:table>
</file>

<file path=xl/tables/table4.xml><?xml version="1.0" encoding="utf-8"?>
<x:table xmlns:x="http://schemas.openxmlformats.org/spreadsheetml/2006/main" id="3" name="BDCFilingCalendarTable" displayName="BDCFilingCalendarTable" ref="A4:N84" headerRowCount="1" totalsRowCount="0" totalsRowShown="0">
  <x:tableColumns count="14">
    <x:tableColumn id="1" name="Period"/>
    <x:tableColumn id="2" name="Period end"/>
    <x:tableColumn id="3" name="Ticker"/>
    <x:tableColumn id="4" name="Listing"/>
    <x:tableColumn id="5" name="Manager"/>
    <x:tableColumn id="6" name="First public date"/>
    <x:tableColumn id="7" name="First public time"/>
    <x:tableColumn id="8" name="First form"/>
    <x:tableColumn id="9" name="Periodic filing date"/>
    <x:tableColumn id="10" name="Lead vs periodic (days)"/>
    <x:tableColumn id="11" name="Confidence"/>
    <x:tableColumn id="12" name="Timestamp verified"/>
    <x:tableColumn id="13" name="Notes"/>
    <x:tableColumn id="14" name="Source URL"/>
  </x:tableColumns>
  <x:tableStyleInfo name="TableStyleMedium2" showFirstColumn="0" showLastColumn="0" showRowStripes="1" showColumnStripes="0"/>
</x:table>
</file>

<file path=xl/tables/table5.xml><?xml version="1.0" encoding="utf-8"?>
<x:table xmlns:x="http://schemas.openxmlformats.org/spreadsheetml/2006/main" id="4" name="BDCWindowSummaryTable" displayName="BDCWindowSummaryTable" ref="A4:P8" headerRowCount="1" totalsRowCount="0" totalsRowShown="0">
  <x:tableColumns count="16">
    <x:tableColumn id="1" name="Period"/>
    <x:tableColumn id="2" name="BDC count"/>
    <x:tableColumn id="3" name="Earliest"/>
    <x:tableColumn id="4" name="Latest"/>
    <x:tableColumn id="5" name="Universe span (days)"/>
    <x:tableColumn id="6" name="Listed earliest"/>
    <x:tableColumn id="7" name="Listed latest"/>
    <x:tableColumn id="8" name="Non-listed earliest"/>
    <x:tableColumn id="9" name="Non-listed latest"/>
    <x:tableColumn id="10" name="Positive source→listed pairs"/>
    <x:tableColumn id="11" name="≥3d"/>
    <x:tableColumn id="12" name="≥5d"/>
    <x:tableColumn id="13" name="≥7d"/>
    <x:tableColumn id="14" name="≥10d"/>
    <x:tableColumn id="15" name="Non-listed→listed positive"/>
    <x:tableColumn id="16" name="Non-listed→listed ≥3d"/>
  </x:tableColumns>
  <x:tableStyleInfo name="TableStyleMedium2" showFirstColumn="0" showLastColumn="0" showRowStripes="1" showColumnStripes="0"/>
</x:table>
</file>

<file path=xl/tables/table6.xml><?xml version="1.0" encoding="utf-8"?>
<x:table xmlns:x="http://schemas.openxmlformats.org/spreadsheetml/2006/main" id="5" name="BDCRankTable" displayName="BDCRankTable" ref="A12:G32" headerRowCount="1" totalsRowCount="0" totalsRowShown="0">
  <x:tableColumns count="7">
    <x:tableColumn id="1" name="Ticker"/>
    <x:tableColumn id="2" name="Listing"/>
    <x:tableColumn id="3" name="Manager"/>
    <x:tableColumn id="4" name="Average dense rank"/>
    <x:tableColumn id="5" name="Best rank"/>
    <x:tableColumn id="6" name="Worst rank"/>
    <x:tableColumn id="7" name="Ranks by quarter"/>
  </x:tableColumns>
  <x:tableStyleInfo name="TableStyleMedium2" showFirstColumn="0" showLastColumn="0" showRowStripes="1" showColumnStripes="0"/>
</x:table>
</file>

<file path=xl/tables/table7.xml><?xml version="1.0" encoding="utf-8"?>
<x:table xmlns:x="http://schemas.openxmlformats.org/spreadsheetml/2006/main" id="6" name="BDCCandidateWindowsTable" displayName="BDCCandidateWindowsTable" ref="A4:L33" headerRowCount="1" totalsRowCount="0" totalsRowShown="0">
  <x:tableColumns count="12">
    <x:tableColumn id="1" name="Period"/>
    <x:tableColumn id="2" name="Source"/>
    <x:tableColumn id="3" name="Target"/>
    <x:tableColumn id="4" name="Source date"/>
    <x:tableColumn id="5" name="Target date"/>
    <x:tableColumn id="6" name="Window (days)"/>
    <x:tableColumn id="7" name="Source manager"/>
    <x:tableColumn id="8" name="Target manager"/>
    <x:tableColumn id="9" name="Shared borrower?"/>
    <x:tableColumn id="10" name="Exact facility?"/>
    <x:tableColumn id="11" name="Evidence / facility"/>
    <x:tableColumn id="12" name="Review note"/>
  </x:tableColumns>
  <x:tableStyleInfo name="TableStyleMedium2" showFirstColumn="0" showLastColumn="0" showRowStripes="1" showColumnStripes="0"/>
</x:table>
</file>

<file path=xl/tables/table8.xml><?xml version="1.0" encoding="utf-8"?>
<x:table xmlns:x="http://schemas.openxmlformats.org/spreadsheetml/2006/main" id="7" name="BDCFacilitySchemaTable" displayName="BDCFacilitySchemaTable" ref="A4:E35" headerRowCount="1" totalsRowCount="0" totalsRowShown="0">
  <x:tableColumns count="5">
    <x:tableColumn id="1" name="Field"/>
    <x:tableColumn id="2" name="Meaning"/>
    <x:tableColumn id="3" name="Type / Unit"/>
    <x:tableColumn id="4" name="Status"/>
    <x:tableColumn id="5" name="Day 1 note"/>
  </x:tableColumns>
  <x:tableStyleInfo name="TableStyleMedium2" showFirstColumn="0" showLastColumn="0" showRowStripes="1" showColumnStripes="0"/>
</x:table>
</file>

<file path=xl/tables/table9.xml><?xml version="1.0" encoding="utf-8"?>
<x:table xmlns:x="http://schemas.openxmlformats.org/spreadsheetml/2006/main" id="8" name="JapanArchiveTestTable" displayName="JapanArchiveTestTable" ref="A4:F11" headerRowCount="1" totalsRowCount="0" totalsRowShown="0">
  <x:tableColumns count="6">
    <x:tableColumn id="1" name="Test date"/>
    <x:tableColumn id="2" name="Accessible?"/>
    <x:tableColumn id="3" name="Reported items"/>
    <x:tableColumn id="4" name="Finding"/>
    <x:tableColumn id="5" name="Source type"/>
    <x:tableColumn id="6" name="URL"/>
  </x:tableColumns>
  <x:tableStyleInfo name="TableStyleMedium2" showFirstColumn="0" showLastColumn="0" showRowStripes="1" showColumnStripes="0"/>
</x:table>
</file>

<file path=xl/tables/table10.xml><?xml version="1.0" encoding="utf-8"?>
<x:table xmlns:x="http://schemas.openxmlformats.org/spreadsheetml/2006/main" id="9" name="JapanEventSampleTable" displayName="JapanEventSampleTable" ref="A4:J17" headerRowCount="1" totalsRowCount="0" totalsRowShown="0">
  <x:tableColumns count="10">
    <x:tableColumn id="1" name="Disclosure datetime JST"/>
    <x:tableColumn id="2" name="Code"/>
    <x:tableColumn id="3" name="Company raw"/>
    <x:tableColumn id="4" name="Event class"/>
    <x:tableColumn id="5" name="Japanese title"/>
    <x:tableColumn id="6" name="Direction / note"/>
    <x:tableColumn id="7" name="Market segment"/>
    <x:tableColumn id="8" name="English status"/>
    <x:tableColumn id="9" name="Old→new guidance extracted?"/>
    <x:tableColumn id="10" name="Source URL"/>
  </x:tableColumns>
  <x:tableStyleInfo name="TableStyleMedium2" showFirstColumn="0" showLastColumn="0" showRowStripes="1" showColumnStripes="0"/>
</x:table>
</file>

<file path=xl/tables/table11.xml><?xml version="1.0" encoding="utf-8"?>
<x:table xmlns:x="http://schemas.openxmlformats.org/spreadsheetml/2006/main" id="10" name="JapanDataSchemaTable" displayName="JapanDataSchemaTable" ref="A4:D31" headerRowCount="1" totalsRowCount="0" totalsRowShown="0">
  <x:tableColumns count="4">
    <x:tableColumn id="1" name="Field"/>
    <x:tableColumn id="2" name="Meaning"/>
    <x:tableColumn id="3" name="Type / Unit"/>
    <x:tableColumn id="4" name="Role"/>
  </x:tableColumns>
  <x:tableStyleInfo name="TableStyleMedium2" showFirstColumn="0" showLastColumn="0" showRowStripes="1" showColumnStripes="0"/>
</x:table>
</file>

<file path=xl/tables/table12.xml><?xml version="1.0" encoding="utf-8"?>
<x:table xmlns:x="http://schemas.openxmlformats.org/spreadsheetml/2006/main" id="1" name="SourcesTable" displayName="SourcesTable" ref="A3:E13" headerRowCount="1" totalsRowCount="0" totalsRowShown="0">
  <x:tableColumns count="5">
    <x:tableColumn id="1" name="Источник"/>
    <x:tableColumn id="2" name="Статус"/>
    <x:tableColumn id="3" name="Трек"/>
    <x:tableColumn id="4" name="Что подтверждает"/>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9bf2945762b448c" /></Relationships>
</file>

<file path=xl/worksheets/_rels/sheet2.xml.rels>&#65279;<?xml version="1.0" encoding="utf-8"?><Relationships xmlns="http://schemas.openxmlformats.org/package/2006/relationships"><Relationship Type="http://schemas.openxmlformats.org/officeDocument/2006/relationships/table" Target="/xl/tables/table1.xml" Id="Rc73e26b785474c8a" /></Relationships>
</file>

<file path=xl/worksheets/_rels/sheet3.xml.rels>&#65279;<?xml version="1.0" encoding="utf-8"?><Relationships xmlns="http://schemas.openxmlformats.org/package/2006/relationships"><Relationship Type="http://schemas.openxmlformats.org/officeDocument/2006/relationships/table" Target="/xl/tables/table2.xml" Id="R2b86572a66f04081" /></Relationships>
</file>

<file path=xl/worksheets/_rels/sheet4.xml.rels>&#65279;<?xml version="1.0" encoding="utf-8"?><Relationships xmlns="http://schemas.openxmlformats.org/package/2006/relationships"><Relationship Type="http://schemas.openxmlformats.org/officeDocument/2006/relationships/table" Target="/xl/tables/table3.xml" Id="R9eef0e0cfe1a4977" /></Relationships>
</file>

<file path=xl/worksheets/_rels/sheet5.xml.rels>&#65279;<?xml version="1.0" encoding="utf-8"?><Relationships xmlns="http://schemas.openxmlformats.org/package/2006/relationships"><Relationship Type="http://schemas.openxmlformats.org/officeDocument/2006/relationships/table" Target="/xl/tables/table4.xml" Id="Rf065a8999be7462e" /></Relationships>
</file>

<file path=xl/worksheets/_rels/sheet6.xml.rels>&#65279;<?xml version="1.0" encoding="utf-8"?><Relationships xmlns="http://schemas.openxmlformats.org/package/2006/relationships"><Relationship Type="http://schemas.openxmlformats.org/officeDocument/2006/relationships/drawing" Target="/xl/drawings/drawing2.xml" Id="Ra49f33ea66ca4cc3" /><Relationship Type="http://schemas.openxmlformats.org/officeDocument/2006/relationships/table" Target="/xl/tables/table5.xml" Id="R04aad03bdb46477d" /><Relationship Type="http://schemas.openxmlformats.org/officeDocument/2006/relationships/table" Target="/xl/tables/table6.xml" Id="R8d197f289dc14fb4" /></Relationships>
</file>

<file path=xl/worksheets/_rels/sheet7.xml.rels>&#65279;<?xml version="1.0" encoding="utf-8"?><Relationships xmlns="http://schemas.openxmlformats.org/package/2006/relationships"><Relationship Type="http://schemas.openxmlformats.org/officeDocument/2006/relationships/table" Target="/xl/tables/table7.xml" Id="R2dceeca68ca94b99" /></Relationships>
</file>

<file path=xl/worksheets/_rels/sheet8.xml.rels>&#65279;<?xml version="1.0" encoding="utf-8"?><Relationships xmlns="http://schemas.openxmlformats.org/package/2006/relationships"><Relationship Type="http://schemas.openxmlformats.org/officeDocument/2006/relationships/table" Target="/xl/tables/table8.xml" Id="R843b0da9194c4487" /></Relationships>
</file>

<file path=xl/worksheets/_rels/sheet9.xml.rels>&#65279;<?xml version="1.0" encoding="utf-8"?><Relationships xmlns="http://schemas.openxmlformats.org/package/2006/relationships"><Relationship Type="http://schemas.openxmlformats.org/officeDocument/2006/relationships/table" Target="/xl/tables/table9.xml" Id="Rfe989f395028434b" /></Relationships>
</file>

<file path=xl/worksheets/_rels/sheet10.xml.rels>&#65279;<?xml version="1.0" encoding="utf-8"?><Relationships xmlns="http://schemas.openxmlformats.org/package/2006/relationships"><Relationship Type="http://schemas.openxmlformats.org/officeDocument/2006/relationships/table" Target="/xl/tables/table10.xml" Id="Rb83a2f06ffc14187" /></Relationships>
</file>

<file path=xl/worksheets/_rels/sheet11.xml.rels>&#65279;<?xml version="1.0" encoding="utf-8"?><Relationships xmlns="http://schemas.openxmlformats.org/package/2006/relationships"><Relationship Type="http://schemas.openxmlformats.org/officeDocument/2006/relationships/table" Target="/xl/tables/table11.xml" Id="Rc0ab565211914748" /></Relationships>
</file>

<file path=xl/worksheets/_rels/sheet12.xml.rels>&#65279;<?xml version="1.0" encoding="utf-8"?><Relationships xmlns="http://schemas.openxmlformats.org/package/2006/relationships"><Relationship Type="http://schemas.openxmlformats.org/officeDocument/2006/relationships/table" Target="/xl/tables/table12.xml" Id="Re54ce70594034af3"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7" max="7" width="14" hidden="0" customWidth="1"/>
    <x:col min="8" max="8" width="14" hidden="0" customWidth="1"/>
    <x:col min="3" max="3" width="14" hidden="0" customWidth="1"/>
    <x:col min="4" max="4" width="14" hidden="0" customWidth="1"/>
    <x:col min="5" max="5" width="14" hidden="0" customWidth="1"/>
    <x:col min="6" max="6" width="14" hidden="0" customWidth="1"/>
    <x:col min="9" max="9" width="14" hidden="0" customWidth="1"/>
    <x:col min="10" max="10" width="14" hidden="0" customWidth="1"/>
    <x:col min="11" max="11" width="14" hidden="0" customWidth="1"/>
    <x:col min="12" max="12" width="14" hidden="0" customWidth="1"/>
    <x:col min="14" max="14" width="2" hidden="0" customWidth="1"/>
    <x:col min="15" max="15" width="2" hidden="0" customWidth="1"/>
    <x:col min="16" max="16" width="2" hidden="0" customWidth="1"/>
    <x:col min="17" max="17" width="2" hidden="0" customWidth="1"/>
    <x:col min="18" max="18" width="2" hidden="0" customWidth="1"/>
  </x:cols>
  <x:sheetData>
    <x:row r="1">
      <x:c r="A1" s="112" t="str">
        <x:v>72-Hour Finance Project Showdown — Day 1</x:v>
      </x:c>
      <x:c r="B1" s="112"/>
      <x:c r="C1" s="112"/>
      <x:c r="D1" s="112"/>
      <x:c r="E1" s="112"/>
      <x:c r="F1" s="112"/>
      <x:c r="G1" s="112"/>
      <x:c r="H1" s="112"/>
      <x:c r="I1" s="112"/>
      <x:c r="J1" s="112"/>
      <x:c r="K1" s="112"/>
      <x:c r="L1" s="112"/>
    </x:row>
    <x:row r="2">
      <x:c r="A2" s="24" t="str">
        <x:v>ShadowNAV vs Japan Language Wall | Day 1 reconciled snapshot | Canonical facts are on Day1_Reconciliation | 2026-08-12</x:v>
      </x:c>
      <x:c r="B2" s="24"/>
      <x:c r="C2" s="24"/>
      <x:c r="D2" s="24"/>
      <x:c r="E2" s="24"/>
      <x:c r="F2" s="24"/>
      <x:c r="G2" s="24"/>
      <x:c r="H2" s="24"/>
      <x:c r="I2" s="24"/>
      <x:c r="J2" s="24"/>
      <x:c r="K2" s="24"/>
      <x:c r="L2" s="24"/>
    </x:row>
    <x:row r="4">
      <x:c r="A4" s="89" t="str">
        <x:v>BDC pilot universe</x:v>
      </x:c>
      <x:c r="C4" s="96" t="n">
        <x:f>COUNTA(BDC_Universe!A5:A24)</x:f>
        <x:v>20</x:v>
      </x:c>
      <x:c r="D4" s="89" t="str">
        <x:v>BDC filing observations</x:v>
      </x:c>
      <x:c r="F4" s="96" t="n">
        <x:f>COUNTA(BDC_Filing_Calendar!A5:A84)</x:f>
        <x:v>80</x:v>
      </x:c>
      <x:c r="G4" s="89" t="str">
        <x:v>Structural windows ≥3d</x:v>
      </x:c>
      <x:c r="I4" s="96" t="n">
        <x:f>SUM(BDC_Window_Summary!K5:K8)</x:f>
        <x:v>295</x:v>
      </x:c>
      <x:c r="J4" s="89" t="str">
        <x:v>Non-listed→listed ≥3d</x:v>
      </x:c>
      <x:c r="L4" s="96" t="n">
        <x:f>SUM(BDC_Window_Summary!P5:P8)</x:f>
        <x:v>29</x:v>
      </x:c>
    </x:row>
    <x:row r="5">
      <x:c r="A5" s="102" t="str">
        <x:v>entities</x:v>
      </x:c>
      <x:c r="B5" s="102"/>
      <x:c r="C5" s="102"/>
      <x:c r="D5" s="102" t="str">
        <x:v>4 quarters</x:v>
      </x:c>
      <x:c r="E5" s="102"/>
      <x:c r="F5" s="102"/>
      <x:c r="G5" s="102" t="str">
        <x:v>before facility filter</x:v>
      </x:c>
      <x:c r="H5" s="102"/>
      <x:c r="I5" s="102"/>
      <x:c r="J5" s="102" t="str">
        <x:v>before facility filter</x:v>
      </x:c>
      <x:c r="K5" s="102"/>
      <x:c r="L5" s="102"/>
    </x:row>
    <x:row r="8">
      <x:c r="A8" s="89" t="str">
        <x:v>Japan archive dates passed</x:v>
      </x:c>
      <x:c r="C8" s="96" t="n">
        <x:f>COUNTIF(Japan_Archive_Test!B5:B11,"Да")</x:f>
        <x:v>7</x:v>
      </x:c>
      <x:c r="D8" s="89" t="str">
        <x:v>Japan seed events</x:v>
      </x:c>
      <x:c r="F8" s="96" t="n">
        <x:f>COUNTA(Japan_Event_Sample!A5:A17)</x:f>
        <x:v>13</x:v>
      </x:c>
      <x:c r="G8" s="89" t="str">
        <x:v>Day 1 tasks done</x:v>
      </x:c>
      <x:c r="I8" s="96" t="n">
        <x:f>COUNTIF(Day1_Checklist!D5:D18,"Done")</x:f>
        <x:v>6</x:v>
      </x:c>
      <x:c r="J8" s="89" t="str">
        <x:v>Open / in progress</x:v>
      </x:c>
      <x:c r="L8" s="96" t="n">
        <x:f>COUNTIF(Day1_Checklist!D5:D18,"In Progress")+COUNTIF(Day1_Checklist!D5:D18,"Not Started")</x:f>
        <x:v>8</x:v>
      </x:c>
    </x:row>
    <x:row r="9">
      <x:c r="A9" s="102" t="str">
        <x:v>historical tests</x:v>
      </x:c>
      <x:c r="B9" s="102"/>
      <x:c r="C9" s="102"/>
      <x:c r="D9" s="102" t="str">
        <x:v>forecast-revision sample</x:v>
      </x:c>
      <x:c r="E9" s="102"/>
      <x:c r="F9" s="102"/>
      <x:c r="G9" s="102" t="str">
        <x:v>of 14</x:v>
      </x:c>
      <x:c r="H9" s="102"/>
      <x:c r="I9" s="102"/>
      <x:c r="J9" s="102" t="str">
        <x:v>next work</x:v>
      </x:c>
      <x:c r="K9" s="102"/>
      <x:c r="L9" s="102"/>
    </x:row>
    <x:row r="12">
      <x:c r="A12" s="47" t="str">
        <x:v>Что уже выяснено сегодня</x:v>
      </x:c>
      <x:c r="B12" s="47"/>
      <x:c r="C12" s="47"/>
      <x:c r="D12" s="47"/>
      <x:c r="E12" s="47"/>
      <x:c r="F12" s="47"/>
      <x:c r="G12" s="47" t="str">
        <x:v>Что ещё может убить проекты</x:v>
      </x:c>
      <x:c r="H12" s="47"/>
      <x:c r="I12" s="47"/>
      <x:c r="J12" s="47"/>
      <x:c r="K12" s="47"/>
      <x:c r="L12" s="47"/>
    </x:row>
    <x:row r="13" ht="44" customHeight="1">
      <x:c r="A13" s="77" t="str">
        <x:v>Календарь BDC</x:v>
      </x:c>
      <x:c r="B13" s="117"/>
      <x:c r="C13" s="122" t="str">
        <x:v>Собрано 20 BDC × 4 квартала. Разброс дат раскрытия по вселенной — 14–42 календарных дня.</x:v>
      </x:c>
      <x:c r="D13" s="122"/>
      <x:c r="E13" s="122"/>
      <x:c r="F13" s="122"/>
      <x:c r="G13" s="77" t="str">
        <x:v>ShadowNAV</x:v>
      </x:c>
      <x:c r="H13" s="117"/>
      <x:c r="I13" s="122" t="str">
        <x:v>Exact same facilities могут оказаться слишком редкими после сопоставления lien, maturity, rate и tranche.</x:v>
      </x:c>
      <x:c r="J13" s="122"/>
      <x:c r="K13" s="122"/>
      <x:c r="L13" s="122"/>
    </x:row>
    <x:row r="14" ht="44" customHeight="1">
      <x:c r="A14" s="77" t="str">
        <x:v>Окна ShadowNAV</x:v>
      </x:c>
      <x:c r="B14" s="117"/>
      <x:c r="C14" s="122" t="str">
        <x:v>До фильтра exact facilities есть много структурных окон длительностью 3–10+ дней между source и listed target.</x:v>
      </x:c>
      <x:c r="D14" s="122"/>
      <x:c r="E14" s="122"/>
      <x:c r="F14" s="122"/>
      <x:c r="G14" s="77" t="str">
        <x:v>ShadowNAV</x:v>
      </x:c>
      <x:c r="H14" s="117"/>
      <x:c r="I14" s="122" t="str">
        <x:v>Простой median уже отчитавшихся co-holders может объяснить весь результат — тогда ML/агенты не нужны.</x:v>
      </x:c>
      <x:c r="J14" s="122"/>
      <x:c r="K14" s="122"/>
      <x:c r="L14" s="122"/>
    </x:row>
    <x:row r="15" ht="44" customHeight="1">
      <x:c r="A15" s="77" t="str">
        <x:v>Non-listed sources</x:v>
      </x:c>
      <x:c r="B15" s="117"/>
      <x:c r="C15" s="122" t="str">
        <x:v>Такие источники иногда опережают listed targets, но крупные публичные BDC чаще раскрываются первыми.</x:v>
      </x:c>
      <x:c r="D15" s="122"/>
      <x:c r="E15" s="122"/>
      <x:c r="F15" s="122"/>
      <x:c r="G15" s="77" t="str">
        <x:v>ShadowNAV</x:v>
      </x:c>
      <x:c r="H15" s="117"/>
      <x:c r="I15" s="122" t="str">
        <x:v>Target мог продать, погасить или изменить позицию до quarter-end; нужна вероятность persistence.</x:v>
      </x:c>
      <x:c r="J15" s="122"/>
      <x:c r="K15" s="122"/>
      <x:c r="L15" s="122"/>
    </x:row>
    <x:row r="16" ht="44" customHeight="1">
      <x:c r="A16" s="77" t="str">
        <x:v>Архив Японии</x:v>
      </x:c>
      <x:c r="B16" s="117"/>
      <x:c r="C16" s="122" t="str">
        <x:v>Yanoshin historical INDEX responds from 2023, but tested old PDF/XBRL document links returned 404. Underlying numeric content still needs an alternative source.</x:v>
      </x:c>
      <x:c r="D16" s="122"/>
      <x:c r="E16" s="122"/>
      <x:c r="F16" s="122"/>
      <x:c r="G16" s="77" t="str">
        <x:v>Japan</x:v>
      </x:c>
      <x:c r="H16" s="117"/>
      <x:c r="I16" s="122" t="str">
        <x:v>Неофициальный архив может быть неполным, нестабильным или непригодным для перераспространения.</x:v>
      </x:c>
      <x:c r="J16" s="122"/>
      <x:c r="K16" s="122"/>
      <x:c r="L16" s="122"/>
    </x:row>
    <x:row r="17" ht="44" customHeight="1">
      <x:c r="A17" s="77" t="str">
        <x:v>Правило JPX</x:v>
      </x:c>
      <x:c r="B17" s="117"/>
      <x:c r="C17" s="122" t="str">
        <x:v>Мандат Prime подтверждён, но treatment неоднороден: full/summary, grace periods и срочные исключения.</x:v>
      </x:c>
      <x:c r="D17" s="122"/>
      <x:c r="E17" s="122"/>
      <x:c r="F17" s="122"/>
      <x:c r="G17" s="77" t="str">
        <x:v>Japan</x:v>
      </x:c>
      <x:c r="H17" s="117"/>
      <x:c r="I17" s="122" t="str">
        <x:v>Domestic investors могут устранить языковой лаг раньше, чем его увидят дневные цены.</x:v>
      </x:c>
      <x:c r="J17" s="122"/>
      <x:c r="K17" s="122"/>
      <x:c r="L17" s="122"/>
    </x:row>
    <x:row r="18" ht="44" customHeight="1">
      <x:c r="A18" s="77" t="str">
        <x:v>Цены Японии</x:v>
      </x:c>
      <x:c r="B18" s="117"/>
      <x:c r="C18" s="122" t="str">
        <x:v>Бесплатные daily-цены J-Quants подходят для T+1…T+10 на истории, но последние 12 недель недоступны.</x:v>
      </x:c>
      <x:c r="D18" s="122"/>
      <x:c r="E18" s="122"/>
      <x:c r="F18" s="122"/>
      <x:c r="G18" s="77" t="str">
        <x:v>Japan</x:v>
      </x:c>
      <x:c r="H18" s="117"/>
      <x:c r="I18" s="122" t="str">
        <x:v>Различия Prime/Standard могут остаться confounded; без event-level JP/EN timestamps causal story слабая.</x:v>
      </x:c>
      <x:c r="J18" s="122"/>
      <x:c r="K18" s="122"/>
      <x:c r="L18" s="122"/>
    </x:row>
    <x:row r="21">
      <x:c r="A21" s="47" t="str">
        <x:v>Provisional Day 1 decision scores (not alpha probabilities)</x:v>
      </x:c>
      <x:c r="B21" s="47"/>
      <x:c r="C21" s="47"/>
      <x:c r="D21" s="47"/>
      <x:c r="E21" s="47"/>
      <x:c r="F21" s="47"/>
      <x:c r="G21" s="47" t="str">
        <x:v>Следующие обязательные действия</x:v>
      </x:c>
      <x:c r="H21" s="47"/>
      <x:c r="I21" s="47"/>
      <x:c r="J21" s="47"/>
      <x:c r="K21" s="47"/>
      <x:c r="L21" s="47"/>
    </x:row>
    <x:row r="22" ht="38" customHeight="1">
      <x:c r="A22" s="6" t="str">
        <x:v>Track</x:v>
      </x:c>
      <x:c r="B22" s="6" t="str">
        <x:v>Weighted score</x:v>
      </x:c>
      <x:c r="C22" s="6" t="str">
        <x:v>Status</x:v>
      </x:c>
      <x:c r="G22" s="77" t="str">
        <x:v>1</x:v>
      </x:c>
      <x:c r="H22" s="122" t="str">
        <x:v>Use Day1_Reconciliation as canonical status; do not treat preliminary BDC dates or workbook scores as final.</x:v>
      </x:c>
      <x:c r="I22" s="122"/>
      <x:c r="J22" s="122"/>
      <x:c r="K22" s="122"/>
      <x:c r="L22" s="122"/>
    </x:row>
    <x:row r="23" ht="38" customHeight="1">
      <x:c r="A23" t="str">
        <x:v>ShadowNAV</x:v>
      </x:c>
      <x:c r="B23" s="106" t="n">
        <x:f>Decision_Matrix!B15</x:f>
        <x:v>89</x:v>
      </x:c>
      <x:c r="C23" s="110" t="str">
        <x:v>Alive</x:v>
      </x:c>
      <x:c r="G23" s="77" t="str">
        <x:v>2</x:v>
      </x:c>
      <x:c r="H23" s="122" t="str">
        <x:v>Freeze random sample before opening target outcomes.</x:v>
      </x:c>
      <x:c r="I23" s="122"/>
      <x:c r="J23" s="122"/>
      <x:c r="K23" s="122"/>
      <x:c r="L23" s="122"/>
    </x:row>
    <x:row r="24" ht="38" customHeight="1">
      <x:c r="A24" t="str">
        <x:v>Japan Language Wall</x:v>
      </x:c>
      <x:c r="B24" s="106" t="n">
        <x:f>Decision_Matrix!C15</x:f>
        <x:v>82</x:v>
      </x:c>
      <x:c r="C24" s="110" t="str">
        <x:v>Alive</x:v>
      </x:c>
      <x:c r="G24" s="77" t="str">
        <x:v>3</x:v>
      </x:c>
      <x:c r="H24" s="122" t="str">
        <x:v>Japan: market segment + JP/EN timestamp/scope for 50 forecast revisions.</x:v>
      </x:c>
      <x:c r="I24" s="122"/>
      <x:c r="J24" s="122"/>
      <x:c r="K24" s="122"/>
      <x:c r="L24" s="122"/>
    </x:row>
    <x:row r="25" ht="38" customHeight="1">
      <x:c r="G25" s="77" t="str">
        <x:v>4</x:v>
      </x:c>
      <x:c r="H25" s="122" t="str">
        <x:v>Link Japan events older than 12 weeks to J-Quants daily prices.</x:v>
      </x:c>
      <x:c r="I25" s="122"/>
      <x:c r="J25" s="122"/>
      <x:c r="K25" s="122"/>
      <x:c r="L25" s="122"/>
    </x:row>
    <x:row r="26" ht="38" customHeight="1">
      <x:c r="G26" s="77" t="str">
        <x:v>5</x:v>
      </x:c>
      <x:c r="H26" s="122" t="str">
        <x:v>Update Decision_Matrix only after evidence is entered.</x:v>
      </x:c>
      <x:c r="I26" s="122"/>
      <x:c r="J26" s="122"/>
      <x:c r="K26" s="122"/>
      <x:c r="L26" s="122"/>
    </x:row>
    <x:row r="28">
      <x:c r="N28" t="str">
        <x:v>Period</x:v>
      </x:c>
      <x:c r="O28" t="str">
        <x:v>≥3d</x:v>
      </x:c>
      <x:c r="P28" t="str">
        <x:v>≥5d</x:v>
      </x:c>
      <x:c r="Q28" t="str">
        <x:v>≥7d</x:v>
      </x:c>
      <x:c r="R28" t="str">
        <x:v>≥10d</x:v>
      </x:c>
    </x:row>
    <x:row r="29">
      <x:c r="N29" t="str">
        <x:v>2025Q2</x:v>
      </x:c>
      <x:c r="O29" t="n">
        <x:v>52</x:v>
      </x:c>
      <x:c r="P29" t="n">
        <x:v>45</x:v>
      </x:c>
      <x:c r="Q29" t="n">
        <x:v>20</x:v>
      </x:c>
      <x:c r="R29" t="n">
        <x:v>3</x:v>
      </x:c>
    </x:row>
    <x:row r="30">
      <x:c r="N30" t="str">
        <x:v>2025Q3</x:v>
      </x:c>
      <x:c r="O30" t="n">
        <x:v>80</x:v>
      </x:c>
      <x:c r="P30" t="n">
        <x:v>66</x:v>
      </x:c>
      <x:c r="Q30" t="n">
        <x:v>45</x:v>
      </x:c>
      <x:c r="R30" t="n">
        <x:v>28</x:v>
      </x:c>
    </x:row>
    <x:row r="31">
      <x:c r="N31" t="str">
        <x:v>2025Q4</x:v>
      </x:c>
      <x:c r="O31" t="n">
        <x:v>95</x:v>
      </x:c>
      <x:c r="P31" t="n">
        <x:v>90</x:v>
      </x:c>
      <x:c r="Q31" t="n">
        <x:v>79</x:v>
      </x:c>
      <x:c r="R31" t="n">
        <x:v>70</x:v>
      </x:c>
    </x:row>
    <x:row r="32">
      <x:c r="N32" t="str">
        <x:v>2026Q1</x:v>
      </x:c>
      <x:c r="O32" t="n">
        <x:v>68</x:v>
      </x:c>
      <x:c r="P32" t="n">
        <x:v>56</x:v>
      </x:c>
      <x:c r="Q32" t="n">
        <x:v>37</x:v>
      </x:c>
      <x:c r="R32" t="n">
        <x:v>14</x:v>
      </x:c>
    </x:row>
  </x:sheetData>
  <x:mergeCells>
    <x:mergeCell ref="A1:L1"/>
    <x:mergeCell ref="A2:L2"/>
    <x:mergeCell ref="A5:C5"/>
    <x:mergeCell ref="D5:F5"/>
    <x:mergeCell ref="G5:I5"/>
    <x:mergeCell ref="J5:L5"/>
    <x:mergeCell ref="A9:C9"/>
    <x:mergeCell ref="D9:F9"/>
    <x:mergeCell ref="G9:I9"/>
    <x:mergeCell ref="J9:L9"/>
    <x:mergeCell ref="A12:F12"/>
    <x:mergeCell ref="G12:L12"/>
    <x:mergeCell ref="A21:F21"/>
    <x:mergeCell ref="G21:L21"/>
    <x:mergeCell ref="A13:B13"/>
    <x:mergeCell ref="C13:F13"/>
    <x:mergeCell ref="G13:H13"/>
    <x:mergeCell ref="I13:L13"/>
    <x:mergeCell ref="A14:B14"/>
    <x:mergeCell ref="C14:F14"/>
    <x:mergeCell ref="G14:H14"/>
    <x:mergeCell ref="I14:L14"/>
    <x:mergeCell ref="A15:B15"/>
    <x:mergeCell ref="C15:F15"/>
    <x:mergeCell ref="G15:H15"/>
    <x:mergeCell ref="I15:L15"/>
    <x:mergeCell ref="A16:B16"/>
    <x:mergeCell ref="C16:F16"/>
    <x:mergeCell ref="G16:H16"/>
    <x:mergeCell ref="I16:L16"/>
    <x:mergeCell ref="A17:B17"/>
    <x:mergeCell ref="C17:F17"/>
    <x:mergeCell ref="G17:H17"/>
    <x:mergeCell ref="I17:L17"/>
    <x:mergeCell ref="A18:B18"/>
    <x:mergeCell ref="C18:F18"/>
    <x:mergeCell ref="G18:H18"/>
    <x:mergeCell ref="I18:L18"/>
    <x:mergeCell ref="H22:L22"/>
    <x:mergeCell ref="H23:L23"/>
    <x:mergeCell ref="H24:L24"/>
    <x:mergeCell ref="H25:L25"/>
    <x:mergeCell ref="H26:L26"/>
  </x:mergeCells>
  <x:pageMargins left="0.7" right="0.7" top="0.75" bottom="0.75" header="0.3" footer="0.3"/>
  <x:drawing xmlns:r="http://schemas.openxmlformats.org/officeDocument/2006/relationships" r:id="Rc9bf2945762b448c"/>
</x:worksheet>
</file>

<file path=xl/worksheets/sheet2.xml><?xml version="1.0" encoding="utf-8"?>
<x:worksheet xmlns:x="http://schemas.openxmlformats.org/spreadsheetml/2006/main">
  <x:sheetFormatPr defaultRowHeight="15"/>
  <x:cols>
    <x:col min="1" max="1" width="14" hidden="0" customWidth="1"/>
    <x:col min="2" max="2" width="26" hidden="0" customWidth="1"/>
    <x:col min="3" max="3" width="48" hidden="0" customWidth="1"/>
    <x:col min="4" max="4" width="16" hidden="0" customWidth="1"/>
    <x:col min="5" max="5" width="14" hidden="0" customWidth="1"/>
    <x:col min="6" max="6" width="58" hidden="0" customWidth="1"/>
    <x:col min="7" max="7" width="52" hidden="0" customWidth="1"/>
    <x:col min="8" max="8" width="26" hidden="0" customWidth="1"/>
  </x:cols>
  <x:sheetData>
    <x:row r="1">
      <x:c r="A1" s="15" t="str">
        <x:v>72-hour showdown — День 1 tracker</x:v>
      </x:c>
      <x:c r="B1" s="15"/>
      <x:c r="C1" s="15"/>
      <x:c r="D1" s="15"/>
      <x:c r="E1" s="15"/>
      <x:c r="F1" s="15"/>
      <x:c r="G1" s="15"/>
      <x:c r="H1" s="15"/>
    </x:row>
    <x:row r="2">
      <x:c r="A2" s="24" t="str">
        <x:v>Цель: получить факты, которые могут убить ShadowNAV или Japan Language Wall. Никаких agents/UI/fine-tune до прохождения measurement gates.</x:v>
      </x:c>
      <x:c r="B2" s="24"/>
      <x:c r="C2" s="24"/>
      <x:c r="D2" s="24"/>
      <x:c r="E2" s="24"/>
      <x:c r="F2" s="24"/>
      <x:c r="G2" s="24"/>
      <x:c r="H2" s="24"/>
    </x:row>
    <x:row r="4">
      <x:c r="A4" s="6" t="str">
        <x:v>Track</x:v>
      </x:c>
      <x:c r="B4" s="6" t="str">
        <x:v>Workstream</x:v>
      </x:c>
      <x:c r="C4" s="6" t="str">
        <x:v>Day 1 / next task</x:v>
      </x:c>
      <x:c r="D4" s="6" t="str">
        <x:v>Status</x:v>
      </x:c>
      <x:c r="E4" s="6" t="str">
        <x:v>Owner</x:v>
      </x:c>
      <x:c r="F4" s="6" t="str">
        <x:v>Result today</x:v>
      </x:c>
      <x:c r="G4" s="6" t="str">
        <x:v>Next action</x:v>
      </x:c>
      <x:c r="H4" s="6" t="str">
        <x:v>Evidence sheet</x:v>
      </x:c>
    </x:row>
    <x:row r="5">
      <x:c r="A5" s="20" t="str">
        <x:v>ShadowNAV</x:v>
      </x:c>
      <x:c r="B5" s="20" t="str">
        <x:v>Календарь раскрытий</x:v>
      </x:c>
      <x:c r="C5" s="20" t="str">
        <x:v>Собрать 15 listed + 5 non-listed BDC за 4 квартала</x:v>
      </x:c>
      <x:c r="D5" s="20" t="str">
        <x:v>Done</x:v>
      </x:c>
      <x:c r="E5" s="20" t="str">
        <x:v>Assistant</x:v>
      </x:c>
      <x:c r="F5" s="20" t="str">
        <x:v>80 наблюдений; spans 14–42 календарных дня</x:v>
      </x:c>
      <x:c r="G5" s="20" t="str">
        <x:v>Проверить acceptance timestamps и first NAV release</x:v>
      </x:c>
      <x:c r="H5" s="20" t="str">
        <x:v>BDC_Filing_Calendar</x:v>
      </x:c>
    </x:row>
    <x:row r="6">
      <x:c r="A6" s="20" t="str">
        <x:v>ShadowNAV</x:v>
      </x:c>
      <x:c r="B6" s="20" t="str">
        <x:v>Окна source→target</x:v>
      </x:c>
      <x:c r="C6" s="20" t="str">
        <x:v>Посчитать распределение окон до listed target</x:v>
      </x:c>
      <x:c r="D6" s="20" t="str">
        <x:v>Done</x:v>
      </x:c>
      <x:c r="E6" s="20" t="str">
        <x:v>Assistant</x:v>
      </x:c>
      <x:c r="F6" s="20" t="str">
        <x:v>96–112 положительных pair-windows/квартал; 52–95 ≥3 дней</x:v>
      </x:c>
      <x:c r="G6" s="20" t="str">
        <x:v>Фильтровать только exact facilities</x:v>
      </x:c>
      <x:c r="H6" s="20" t="str">
        <x:v>BDC_Window_Summary</x:v>
      </x:c>
    </x:row>
    <x:row r="7">
      <x:c r="A7" s="20" t="str">
        <x:v>ShadowNAV</x:v>
      </x:c>
      <x:c r="B7" s="20" t="str">
        <x:v>Non-listed sensor</x:v>
      </x:c>
      <x:c r="C7" s="20" t="str">
        <x:v>Проверить, часто ли non-listed файлится раньше listed</x:v>
      </x:c>
      <x:c r="D7" s="20" t="str">
        <x:v>Done</x:v>
      </x:c>
      <x:c r="E7" s="20" t="str">
        <x:v>Assistant</x:v>
      </x:c>
      <x:c r="F7" s="20" t="str">
        <x:v>Есть, но заметно реже: 3/10/11/5 окон ≥3 дней по кварталам</x:v>
      </x:c>
      <x:c r="G7" s="20" t="str">
        <x:v>Не строить pitch на non-listed-first без facility overlap</x:v>
      </x:c>
      <x:c r="H7" s="20" t="str">
        <x:v>BDC_Candidate_Windows</x:v>
      </x:c>
    </x:row>
    <x:row r="8">
      <x:c r="A8" s="20" t="str">
        <x:v>ShadowNAV</x:v>
      </x:c>
      <x:c r="B8" s="20" t="str">
        <x:v>Exact facilities</x:v>
      </x:c>
      <x:c r="C8" s="20" t="str">
        <x:v>Найти 20+ общих borrowers и exact same tranches</x:v>
      </x:c>
      <x:c r="D8" s="20" t="str">
        <x:v>Not Started</x:v>
      </x:c>
      <x:c r="E8" s="20" t="str">
        <x:v>User/Friend</x:v>
      </x:c>
      <x:c r="F8" s="20" t="str"/>
      <x:c r="G8" s="20" t="str">
        <x:v>Day 2: вручную 3 пары ранний/поздний BDC</x:v>
      </x:c>
      <x:c r="H8" s="20" t="str">
        <x:v>BDC_Facility_Schema</x:v>
      </x:c>
    </x:row>
    <x:row r="9">
      <x:c r="A9" s="20" t="str">
        <x:v>ShadowNAV</x:v>
      </x:c>
      <x:c r="B9" s="20" t="str">
        <x:v>Manual nowcast</x:v>
      </x:c>
      <x:c r="C9" s="20" t="str">
        <x:v>10 случайных historical source-target predictions vs baseline</x:v>
      </x:c>
      <x:c r="D9" s="20" t="str">
        <x:v>Not Started</x:v>
      </x:c>
      <x:c r="E9" s="20" t="str">
        <x:v>User/Friend</x:v>
      </x:c>
      <x:c r="F9" s="20" t="str"/>
      <x:c r="G9" s="20" t="str">
        <x:v>После exact matching; random sample before outcomes</x:v>
      </x:c>
      <x:c r="H9" s="20" t="str">
        <x:v>BDC_Facility_Schema</x:v>
      </x:c>
    </x:row>
    <x:row r="10">
      <x:c r="A10" s="20" t="str">
        <x:v>ShadowNAV</x:v>
      </x:c>
      <x:c r="B10" s="20" t="str">
        <x:v>PIK / non-accrual</x:v>
      </x:c>
      <x:c r="C10" s="20" t="str">
        <x:v>Проверить categorical propagation</x:v>
      </x:c>
      <x:c r="D10" s="20" t="str">
        <x:v>Not Started</x:v>
      </x:c>
      <x:c r="E10" s="20" t="str">
        <x:v>User/Friend</x:v>
      </x:c>
      <x:c r="F10" s="20" t="str"/>
      <x:c r="G10" s="20" t="str">
        <x:v>Сделать раньше сложной FV-модели</x:v>
      </x:c>
      <x:c r="H10" s="20" t="str">
        <x:v>BDC_Facility_Schema</x:v>
      </x:c>
    </x:row>
    <x:row r="11">
      <x:c r="A11" s="20" t="str">
        <x:v>Japan</x:v>
      </x:c>
      <x:c r="B11" s="20" t="str">
        <x:v>Исторический архив TDnet</x:v>
      </x:c>
      <x:c r="C11" s="20" t="str">
        <x:v>Проверить реальные даты 2023–2025</x:v>
      </x:c>
      <x:c r="D11" s="20" t="str">
        <x:v>Done</x:v>
      </x:c>
      <x:c r="E11" s="20" t="str">
        <x:v>Assistant</x:v>
      </x:c>
      <x:c r="F11" s="20" t="str">
        <x:v>Historical index alive. Codex counted ~4k–6k items/month and ~229–313 forecast-revision titles/month; tested old PDF/XBRL links returned 404.</x:v>
      </x:c>
      <x:c r="G11" s="20" t="str">
        <x:v>Find a reproducible source for old/new forecast numbers (issuer IR, J-Quants statements, mirror/archive); index alone is insufficient.</x:v>
      </x:c>
      <x:c r="H11" s="20" t="str">
        <x:v>Japan_Archive_Test</x:v>
      </x:c>
    </x:row>
    <x:row r="12">
      <x:c r="A12" s="20" t="str">
        <x:v>Japan</x:v>
      </x:c>
      <x:c r="B12" s="20" t="str">
        <x:v>Rule verification</x:v>
      </x:c>
      <x:c r="C12" s="20" t="str">
        <x:v>Зафиксировать scope English mandate Apr-2025</x:v>
      </x:c>
      <x:c r="D12" s="20" t="str">
        <x:v>Done</x:v>
      </x:c>
      <x:c r="E12" s="20" t="str">
        <x:v>Assistant</x:v>
      </x:c>
      <x:c r="F12" s="20" t="str">
        <x:v>Prime: simultaneous JP/EN; summary/excerpt допустимы; grace/urgent exceptions существуют</x:v>
      </x:c>
      <x:c r="G12" s="20" t="str">
        <x:v>Создать event-level treatment intensity</x:v>
      </x:c>
      <x:c r="H12" s="20" t="str">
        <x:v>Sources</x:v>
      </x:c>
    </x:row>
    <x:row r="13">
      <x:c r="A13" s="20" t="str">
        <x:v>Japan</x:v>
      </x:c>
      <x:c r="B13" s="20" t="str">
        <x:v>Forecast-revision sample</x:v>
      </x:c>
      <x:c r="C13" s="20" t="str">
        <x:v>Собрать чистые события и схему extraction</x:v>
      </x:c>
      <x:c r="D13" s="20" t="str">
        <x:v>In Progress</x:v>
      </x:c>
      <x:c r="E13" s="20" t="str">
        <x:v>Assistant</x:v>
      </x:c>
      <x:c r="F13" s="20" t="str">
        <x:v>13 начальных событий с timestamps и японскими titles</x:v>
      </x:c>
      <x:c r="G13" s="20" t="str">
        <x:v>Скачать документы и извлечь old/new guidance</x:v>
      </x:c>
      <x:c r="H13" s="20" t="str">
        <x:v>Japan_Event_Sample</x:v>
      </x:c>
    </x:row>
    <x:row r="14">
      <x:c r="A14" s="20" t="str">
        <x:v>Japan</x:v>
      </x:c>
      <x:c r="B14" s="20" t="str">
        <x:v>Market segment</x:v>
      </x:c>
      <x:c r="C14" s="20" t="str">
        <x:v>Привязать код к Prime/Standard/Growth</x:v>
      </x:c>
      <x:c r="D14" s="20" t="str">
        <x:v>Not Started</x:v>
      </x:c>
      <x:c r="E14" s="20" t="str">
        <x:v>User/Friend</x:v>
      </x:c>
      <x:c r="F14" s="20" t="str"/>
      <x:c r="G14" s="20" t="str">
        <x:v>Через J-Quants listed issue master / JPX</x:v>
      </x:c>
      <x:c r="H14" s="20" t="str">
        <x:v>Japan_Event_Sample</x:v>
      </x:c>
    </x:row>
    <x:row r="15">
      <x:c r="A15" s="20" t="str">
        <x:v>Japan</x:v>
      </x:c>
      <x:c r="B15" s="20" t="str">
        <x:v>English availability</x:v>
      </x:c>
      <x:c r="C15" s="20" t="str">
        <x:v>JP/EN timestamp, full/summary/none</x:v>
      </x:c>
      <x:c r="D15" s="20" t="str">
        <x:v>Not Started</x:v>
      </x:c>
      <x:c r="E15" s="20" t="str">
        <x:v>User/Friend</x:v>
      </x:c>
      <x:c r="F15" s="20" t="str"/>
      <x:c r="G15" s="20" t="str">
        <x:v>Primary treatment field; без него triple-diff невозможен</x:v>
      </x:c>
      <x:c r="H15" s="20" t="str">
        <x:v>Japan_Data_Schema</x:v>
      </x:c>
    </x:row>
    <x:row r="16">
      <x:c r="A16" s="20" t="str">
        <x:v>Japan</x:v>
      </x:c>
      <x:c r="B16" s="20" t="str">
        <x:v>Price linkage</x:v>
      </x:c>
      <x:c r="C16" s="20" t="str">
        <x:v>T0/T+1/T+3/T+5/T+10 daily returns</x:v>
      </x:c>
      <x:c r="D16" s="20" t="str">
        <x:v>Not Started</x:v>
      </x:c>
      <x:c r="E16" s="20" t="str">
        <x:v>User/Friend</x:v>
      </x:c>
      <x:c r="F16" s="20" t="str"/>
      <x:c r="G16" s="20" t="str">
        <x:v>Free J-Quants: использовать события старше 12 недель</x:v>
      </x:c>
      <x:c r="H16" s="20" t="str">
        <x:v>Japan_Data_Schema</x:v>
      </x:c>
    </x:row>
    <x:row r="17">
      <x:c r="A17" s="20" t="str">
        <x:v>Both</x:v>
      </x:c>
      <x:c r="B17" s="20" t="str">
        <x:v>Preregistration</x:v>
      </x:c>
      <x:c r="C17" s="20" t="str">
        <x:v>Записать primary hypotheses и kill criteria</x:v>
      </x:c>
      <x:c r="D17" s="20" t="str">
        <x:v>In Progress</x:v>
      </x:c>
      <x:c r="E17" s="20" t="str">
        <x:v>Both</x:v>
      </x:c>
      <x:c r="F17" s="20" t="str">
        <x:v>Черновые criteria внесены в workbook</x:v>
      </x:c>
      <x:c r="G17" s="20" t="str">
        <x:v>Заморозить до просмотра exact facility/returns</x:v>
      </x:c>
      <x:c r="H17" s="20" t="str">
        <x:v>Decision_Matrix</x:v>
      </x:c>
    </x:row>
    <x:row r="18">
      <x:c r="A18" s="20" t="str">
        <x:v>Both</x:v>
      </x:c>
      <x:c r="B18" s="20" t="str">
        <x:v>No UI / no agents</x:v>
      </x:c>
      <x:c r="C18" s="20" t="str">
        <x:v>Не строить dashboard-продукт до measurement validity</x:v>
      </x:c>
      <x:c r="D18" s="20" t="str">
        <x:v>Done</x:v>
      </x:c>
      <x:c r="E18" s="20" t="str">
        <x:v>Both</x:v>
      </x:c>
      <x:c r="F18" s="20" t="str">
        <x:v>В workbook только исследовательский dashboard</x:v>
      </x:c>
      <x:c r="G18" s="20" t="str">
        <x:v>Следовать правилу</x:v>
      </x:c>
      <x:c r="H18" s="20" t="str">
        <x:v>Dashboard</x:v>
      </x:c>
    </x:row>
  </x:sheetData>
  <x:mergeCells>
    <x:mergeCell ref="A1:H1"/>
    <x:mergeCell ref="A2:H2"/>
  </x:mergeCells>
  <x:conditionalFormatting sqref="D5:D18">
    <x:cfRule type="expression" dxfId="6" priority="1">
      <x:formula>D5="Done"</x:formula>
    </x:cfRule>
    <x:cfRule type="expression" dxfId="7" priority="2">
      <x:formula>D5="In Progress"</x:formula>
    </x:cfRule>
    <x:cfRule type="expression" dxfId="8" priority="3">
      <x:formula>OR(D5="Blocked",D5="Killed")</x:formula>
    </x:cfRule>
  </x:conditionalFormatting>
  <x:dataValidations count="2">
    <x:dataValidation type="list" sqref="D5:D18">
      <x:formula1>"Not Started,In Progress,Done,Blocked,Needs Review,Killed"</x:formula1>
    </x:dataValidation>
    <x:dataValidation type="list" sqref="E5:E18">
      <x:formula1>"Assistant,User,Friend,Both"</x:formula1>
    </x:dataValidation>
  </x:dataValidations>
  <x:pageMargins left="0.7" right="0.7" top="0.75" bottom="0.75" header="0.3" footer="0.3"/>
  <x:tableParts count="1">
    <x:tablePart xmlns:r="http://schemas.openxmlformats.org/officeDocument/2006/relationships" r:id="Rc73e26b785474c8a"/>
  </x:tableParts>
</x:worksheet>
</file>

<file path=xl/worksheets/sheet3.xml><?xml version="1.0" encoding="utf-8"?>
<x:worksheet xmlns:x="http://schemas.openxmlformats.org/spreadsheetml/2006/main">
  <x:sheetFormatPr defaultRowHeight="15"/>
  <x:cols>
    <x:col min="1" max="1" width="14" hidden="0" customWidth="1"/>
    <x:col min="2" max="2" width="34" hidden="0" customWidth="1"/>
    <x:col min="3" max="3" width="48" hidden="0" customWidth="1"/>
    <x:col min="4" max="4" width="18" hidden="0" customWidth="1"/>
    <x:col min="5" max="5" width="50" hidden="0" customWidth="1"/>
    <x:col min="6" max="6" width="38" hidden="0" customWidth="1"/>
  </x:cols>
  <x:sheetData>
    <x:row r="1">
      <x:c r="A1" s="15" t="str">
        <x:v>ShadowNAV vs Japan Language Wall — Day 1 decision matrix</x:v>
      </x:c>
      <x:c r="B1" s="15"/>
      <x:c r="C1" s="15"/>
      <x:c r="D1" s="15"/>
      <x:c r="E1" s="15"/>
      <x:c r="F1" s="15"/>
    </x:row>
    <x:row r="2">
      <x:c r="A2" s="24" t="str">
        <x:v>Scores 1–5 are provisional priors, not evidence of alpha. Final choice only after exact facilities/manual nowcasts and Japan treatment/price linkage.</x:v>
      </x:c>
      <x:c r="B2" s="24"/>
      <x:c r="C2" s="24"/>
      <x:c r="D2" s="24"/>
      <x:c r="E2" s="24"/>
      <x:c r="F2" s="24"/>
    </x:row>
    <x:row r="4">
      <x:c r="A4" s="6" t="str">
        <x:v>Criterion</x:v>
      </x:c>
      <x:c r="B4" s="6" t="str">
        <x:v>ShadowNAV score</x:v>
      </x:c>
      <x:c r="C4" s="6" t="str">
        <x:v>Japan score</x:v>
      </x:c>
      <x:c r="D4" s="6" t="str">
        <x:v>Day 1 evidence</x:v>
      </x:c>
      <x:c r="E4" s="6" t="str">
        <x:v>Current lead</x:v>
      </x:c>
      <x:c r="F4" s="6" t="str">
        <x:v>Weight</x:v>
      </x:c>
    </x:row>
    <x:row r="5">
      <x:c r="A5" s="20" t="str">
        <x:v>История данных уже существует</x:v>
      </x:c>
      <x:c r="B5" s="72" t="n">
        <x:v>5</x:v>
      </x:c>
      <x:c r="C5" s="72" t="n">
        <x:v>4</x:v>
      </x:c>
      <x:c r="D5" s="20" t="str">
        <x:v>BDC official SEC history 2022+; Japan unofficial archive tested 2023+</x:v>
      </x:c>
      <x:c r="E5" s="20" t="str">
        <x:v>Both alive</x:v>
      </x:c>
      <x:c r="F5" s="30" t="n">
        <x:v>15</x:v>
      </x:c>
    </x:row>
    <x:row r="6">
      <x:c r="A6" s="20" t="str">
        <x:v>Стоимость данных для pilot</x:v>
      </x:c>
      <x:c r="B6" s="72" t="n">
        <x:v>5</x:v>
      </x:c>
      <x:c r="C6" s="72" t="n">
        <x:v>5</x:v>
      </x:c>
      <x:c r="D6" s="20" t="str">
        <x:v>Core data 0 ₽; Japan intraday/official 5-year archive paid but not required for daily pilot</x:v>
      </x:c>
      <x:c r="E6" s="20" t="str">
        <x:v>Both alive</x:v>
      </x:c>
      <x:c r="F6" s="30" t="n">
        <x:v>10</x:v>
      </x:c>
    </x:row>
    <x:row r="7">
      <x:c r="A7" s="20" t="str">
        <x:v>Чистота будущего ground truth</x:v>
      </x:c>
      <x:c r="B7" s="72" t="n">
        <x:v>5</x:v>
      </x:c>
      <x:c r="C7" s="72" t="n">
        <x:v>4</x:v>
      </x:c>
      <x:c r="D7" s="20" t="str">
        <x:v>Same facility/same quarter mark is strongest; Japan forecast revision gives numeric event truth but causal channel indirect</x:v>
      </x:c>
      <x:c r="E7" s="20" t="str">
        <x:v>ShadowNAV lead</x:v>
      </x:c>
      <x:c r="F7" s="30" t="n">
        <x:v>15</x:v>
      </x:c>
    </x:row>
    <x:row r="8">
      <x:c r="A8" s="20" t="str">
        <x:v>Размер потенциальной выборки</x:v>
      </x:c>
      <x:c r="B8" s="72" t="n">
        <x:v>4</x:v>
      </x:c>
      <x:c r="C8" s="72" t="n">
        <x:v>5</x:v>
      </x:c>
      <x:c r="D8" s="20" t="str">
        <x:v>BDC exact facilities unknown; TDnet flow is large</x:v>
      </x:c>
      <x:c r="E8" s="20" t="str">
        <x:v>Japan lead until facility count known</x:v>
      </x:c>
      <x:c r="F8" s="30" t="n">
        <x:v>15</x:v>
      </x:c>
    </x:row>
    <x:row r="9">
      <x:c r="A9" s="20" t="str">
        <x:v>Прямота медленного участника</x:v>
      </x:c>
      <x:c r="B9" s="72" t="n">
        <x:v>5</x:v>
      </x:c>
      <x:c r="C9" s="72" t="n">
        <x:v>3</x:v>
      </x:c>
      <x:c r="D9" s="20" t="str">
        <x:v>BDC later reporter is observable; Japan foreign-investor language friction must be demonstrated</x:v>
      </x:c>
      <x:c r="E9" s="20" t="str">
        <x:v>ShadowNAV lead</x:v>
      </x:c>
      <x:c r="F9" s="30" t="n">
        <x:v>15</x:v>
      </x:c>
    </x:row>
    <x:row r="10">
      <x:c r="A10" s="20" t="str">
        <x:v>Торговое окно</x:v>
      </x:c>
      <x:c r="B10" s="72" t="n">
        <x:v>4</x:v>
      </x:c>
      <x:c r="C10" s="72" t="n">
        <x:v>4</x:v>
      </x:c>
      <x:c r="D10" s="20" t="str">
        <x:v>BDC calendar has multi-day structural windows; Japan tests T+1…T+10</x:v>
      </x:c>
      <x:c r="E10" s="20" t="str">
        <x:v>Tie</x:v>
      </x:c>
      <x:c r="F10" s="30" t="n">
        <x:v>10</x:v>
      </x:c>
    </x:row>
    <x:row r="11">
      <x:c r="A11" s="20" t="str">
        <x:v>Capacity</x:v>
      </x:c>
      <x:c r="B11" s="72" t="n">
        <x:v>4</x:v>
      </x:c>
      <x:c r="C11" s="72" t="n">
        <x:v>3</x:v>
      </x:c>
      <x:c r="D11" s="20" t="str">
        <x:v>Listed BDC relative-value capacity likely above Japan Standard small-cap book</x:v>
      </x:c>
      <x:c r="E11" s="20" t="str">
        <x:v>ShadowNAV lead</x:v>
      </x:c>
      <x:c r="F11" s="30" t="n">
        <x:v>5</x:v>
      </x:c>
    </x:row>
    <x:row r="12">
      <x:c r="A12" s="20" t="str">
        <x:v>Vendor competition</x:v>
      </x:c>
      <x:c r="B12" s="72" t="n">
        <x:v>2</x:v>
      </x:c>
      <x:c r="C12" s="72" t="n">
        <x:v>4</x:v>
      </x:c>
      <x:c r="D12" s="20" t="str">
        <x:v>Cross-holder marks are sold by vendors; free normalized Standard-market feed appears less commoditized</x:v>
      </x:c>
      <x:c r="E12" s="20" t="str">
        <x:v>Japan lead</x:v>
      </x:c>
      <x:c r="F12" s="30" t="n">
        <x:v>5</x:v>
      </x:c>
    </x:row>
    <x:row r="13">
      <x:c r="A13" s="20" t="str">
        <x:v>Ценность при null</x:v>
      </x:c>
      <x:c r="B13" s="72" t="n">
        <x:v>3</x:v>
      </x:c>
      <x:c r="C13" s="72" t="n">
        <x:v>5</x:v>
      </x:c>
      <x:c r="D13" s="20" t="str">
        <x:v>BDC open/reproducible + appraiser angle; Japan English-normalized TDnet dataset stronger</x:v>
      </x:c>
      <x:c r="E13" s="20" t="str">
        <x:v>Japan lead</x:v>
      </x:c>
      <x:c r="F13" s="30" t="n">
        <x:v>5</x:v>
      </x:c>
    </x:row>
    <x:row r="14">
      <x:c r="A14" s="20" t="str">
        <x:v>Time to first OOS / ground truth</x:v>
      </x:c>
      <x:c r="B14" s="72" t="n">
        <x:v>5</x:v>
      </x:c>
      <x:c r="C14" s="72" t="n">
        <x:v>4</x:v>
      </x:c>
      <x:c r="D14" s="20" t="str">
        <x:v>BDC historical same-quarter outcomes available; Japan historical archive seems available but treatment construction pending</x:v>
      </x:c>
      <x:c r="E14" s="20" t="str">
        <x:v>ShadowNAV slight lead</x:v>
      </x:c>
      <x:c r="F14" s="30" t="n">
        <x:v>5</x:v>
      </x:c>
    </x:row>
    <x:row r="15">
      <x:c r="A15" s="77" t="str">
        <x:v>Weighted score / 100</x:v>
      </x:c>
      <x:c r="B15" s="84" t="n">
        <x:f>SUMPRODUCT(B5:B14,F5:F14)/5</x:f>
        <x:v>89</x:v>
      </x:c>
      <x:c r="C15" s="84" t="n">
        <x:f>SUMPRODUCT(C5:C14,F5:F14)/5</x:f>
        <x:v>82</x:v>
      </x:c>
      <x:c r="D15" s="77"/>
      <x:c r="E15" s="77"/>
      <x:c r="F15" s="77"/>
    </x:row>
    <x:row r="18">
      <x:c r="A18" s="47" t="str">
        <x:v>Pre-registered Day 2 / Day 3 gates</x:v>
      </x:c>
      <x:c r="B18" s="47"/>
      <x:c r="C18" s="47"/>
      <x:c r="D18" s="47"/>
      <x:c r="E18" s="47"/>
      <x:c r="F18" s="47"/>
    </x:row>
    <x:row r="19">
      <x:c r="A19" s="6" t="str">
        <x:v>Track</x:v>
      </x:c>
      <x:c r="B19" s="6" t="str">
        <x:v>Gate</x:v>
      </x:c>
      <x:c r="C19" s="6" t="str">
        <x:v>Threshold</x:v>
      </x:c>
      <x:c r="D19" s="6" t="str">
        <x:v>Status</x:v>
      </x:c>
      <x:c r="E19" s="6" t="str">
        <x:v>Interpretation</x:v>
      </x:c>
      <x:c r="F19" s="6" t="str">
        <x:v>Evidence</x:v>
      </x:c>
    </x:row>
    <x:row r="20">
      <x:c r="A20" s="20" t="str">
        <x:v>ShadowNAV</x:v>
      </x:c>
      <x:c r="B20" s="20" t="str">
        <x:v>Exact facility match precision</x:v>
      </x:c>
      <x:c r="C20" s="20" t="str">
        <x:v>≥95% on locked manual sample</x:v>
      </x:c>
      <x:c r="D20" s="56" t="str">
        <x:v>Pending</x:v>
      </x:c>
      <x:c r="E20" s="56" t="str">
        <x:v>Kill matching pipeline if below threshold</x:v>
      </x:c>
      <x:c r="F20" s="56" t="str"/>
    </x:row>
    <x:row r="21">
      <x:c r="A21" s="20" t="str">
        <x:v>ShadowNAV</x:v>
      </x:c>
      <x:c r="B21" s="20" t="str">
        <x:v>Usable historical forecast observations</x:v>
      </x:c>
      <x:c r="C21" s="20" t="str">
        <x:v>Enough for power; target ≥1,000 or explicit lower-power design</x:v>
      </x:c>
      <x:c r="D21" s="56" t="str">
        <x:v>Pending</x:v>
      </x:c>
      <x:c r="E21" s="56" t="str">
        <x:v>Do not use match percentage alone</x:v>
      </x:c>
      <x:c r="F21" s="56" t="str"/>
    </x:row>
    <x:row r="22">
      <x:c r="A22" s="20" t="str">
        <x:v>ShadowNAV</x:v>
      </x:c>
      <x:c r="B22" s="20" t="str">
        <x:v>Manual nowcast vs baseline</x:v>
      </x:c>
      <x:c r="C22" s="20" t="str">
        <x:v>Random 10 cases; model/median must improve error</x:v>
      </x:c>
      <x:c r="D22" s="56" t="str">
        <x:v>Pending</x:v>
      </x:c>
      <x:c r="E22" s="56" t="str">
        <x:v>Random selection before opening target outcomes</x:v>
      </x:c>
      <x:c r="F22" s="56" t="str"/>
    </x:row>
    <x:row r="23">
      <x:c r="A23" s="20" t="str">
        <x:v>ShadowNAV</x:v>
      </x:c>
      <x:c r="B23" s="20" t="str">
        <x:v>Reporter-order placebo</x:v>
      </x:c>
      <x:c r="C23" s="20" t="str">
        <x:v>Shuffled order must not work</x:v>
      </x:c>
      <x:c r="D23" s="56" t="str">
        <x:v>Pending</x:v>
      </x:c>
      <x:c r="E23" s="56" t="str">
        <x:v>Leakage check</x:v>
      </x:c>
      <x:c r="F23" s="56" t="str"/>
    </x:row>
    <x:row r="24">
      <x:c r="A24" s="20" t="str">
        <x:v>ShadowNAV</x:v>
      </x:c>
      <x:c r="B24" s="20" t="str">
        <x:v>PIK/non-accrual propagation</x:v>
      </x:c>
      <x:c r="C24" s="20" t="str">
        <x:v>Stable across managers/quarters</x:v>
      </x:c>
      <x:c r="D24" s="56" t="str">
        <x:v>Pending</x:v>
      </x:c>
      <x:c r="E24" s="56" t="str">
        <x:v>May become primary product even if marks are noisy</x:v>
      </x:c>
      <x:c r="F24" s="56" t="str"/>
    </x:row>
    <x:row r="25">
      <x:c r="A25" s="20" t="str">
        <x:v>Japan</x:v>
      </x:c>
      <x:c r="B25" s="20" t="str">
        <x:v>Archive depth</x:v>
      </x:c>
      <x:c r="C25" s="20" t="str">
        <x:v>≥12 months with timestamps/docs OR explicit live-only decision</x:v>
      </x:c>
      <x:c r="D25" s="56" t="str">
        <x:v>Partially passed</x:v>
      </x:c>
      <x:c r="E25" s="56" t="str">
        <x:v>Yanoshin dates 2023–2025 respond</x:v>
      </x:c>
      <x:c r="F25" s="56" t="str"/>
    </x:row>
    <x:row r="26">
      <x:c r="A26" s="20" t="str">
        <x:v>Japan</x:v>
      </x:c>
      <x:c r="B26" s="20" t="str">
        <x:v>Event-level treatment</x:v>
      </x:c>
      <x:c r="C26" s="20" t="str">
        <x:v>JP/EN timestamp and full/summary/none reliably measurable</x:v>
      </x:c>
      <x:c r="D26" s="56" t="str">
        <x:v>Pending</x:v>
      </x:c>
      <x:c r="E26" s="56" t="str">
        <x:v>Without it triple-diff fails</x:v>
      </x:c>
      <x:c r="F26" s="56" t="str"/>
    </x:row>
    <x:row r="27">
      <x:c r="A27" s="20" t="str">
        <x:v>Japan</x:v>
      </x:c>
      <x:c r="B27" s="20" t="str">
        <x:v>Clean forecast revisions</x:v>
      </x:c>
      <x:c r="C27" s="20" t="str">
        <x:v>≥50 seed events; old/new values extractable</x:v>
      </x:c>
      <x:c r="D27" s="56" t="str">
        <x:v>Pending</x:v>
      </x:c>
      <x:c r="E27" s="56" t="str">
        <x:v>Start with one event class only</x:v>
      </x:c>
      <x:c r="F27" s="56" t="str"/>
    </x:row>
    <x:row r="28">
      <x:c r="A28" s="20" t="str">
        <x:v>Japan</x:v>
      </x:c>
      <x:c r="B28" s="20" t="str">
        <x:v>Daily price linkage</x:v>
      </x:c>
      <x:c r="C28" s="20" t="str">
        <x:v>T0/T+1/T+3/T+5/T+10 for events older than 12 weeks</x:v>
      </x:c>
      <x:c r="D28" s="56" t="str">
        <x:v>Pending</x:v>
      </x:c>
      <x:c r="E28" s="56" t="str">
        <x:v>Free J-Quants is delayed</x:v>
      </x:c>
      <x:c r="F28" s="56" t="str"/>
    </x:row>
    <x:row r="29">
      <x:c r="A29" s="20" t="str">
        <x:v>Japan</x:v>
      </x:c>
      <x:c r="B29" s="20" t="str">
        <x:v>Mechanism gradient</x:v>
      </x:c>
      <x:c r="C29" s="20" t="str">
        <x:v>Effect stronger with foreign ownership / prior English lag</x:v>
      </x:c>
      <x:c r="D29" s="56" t="str">
        <x:v>Pending</x:v>
      </x:c>
      <x:c r="E29" s="56" t="str">
        <x:v>If absent, language causal story weakens</x:v>
      </x:c>
      <x:c r="F29" s="56" t="str"/>
    </x:row>
  </x:sheetData>
  <x:mergeCells>
    <x:mergeCell ref="A1:F1"/>
    <x:mergeCell ref="A2:F2"/>
    <x:mergeCell ref="A18:F18"/>
  </x:mergeCells>
  <x:conditionalFormatting sqref="B5:C14">
    <x:cfRule type="colorScale" priority="1">
      <x:colorScale>
        <x:cfvo type="min"/>
        <x:cfvo type="percentile" val="50"/>
        <x:cfvo type="max"/>
        <x:color rgb="FFFEE2E2"/>
        <x:color rgb="FFFEF3C7"/>
        <x:color rgb="FFDCFCE7"/>
      </x:colorScale>
    </x:cfRule>
  </x:conditionalFormatting>
  <x:dataValidations count="1">
    <x:dataValidation type="list" sqref="D20:D29">
      <x:formula1>"Pending,Partially passed,Passed,Failed,Killed"</x:formula1>
    </x:dataValidation>
  </x:dataValidations>
  <x:pageMargins left="0.7" right="0.7" top="0.75" bottom="0.75" header="0.3" footer="0.3"/>
  <x:tableParts count="1">
    <x:tablePart xmlns:r="http://schemas.openxmlformats.org/officeDocument/2006/relationships" r:id="R2b86572a66f04081"/>
  </x:tableParts>
</x:worksheet>
</file>

<file path=xl/worksheets/sheet4.xml><?xml version="1.0" encoding="utf-8"?>
<x:worksheet xmlns:x="http://schemas.openxmlformats.org/spreadsheetml/2006/main">
  <x:sheetFormatPr defaultRowHeight="15"/>
  <x:cols>
    <x:col min="1" max="1" width="10" hidden="0" customWidth="1"/>
    <x:col min="2" max="2" width="14" hidden="0" customWidth="1"/>
    <x:col min="3" max="3" width="34" hidden="0" customWidth="1"/>
    <x:col min="4" max="4" width="24" hidden="0" customWidth="1"/>
    <x:col min="5" max="5" width="14" hidden="0" customWidth="1"/>
    <x:col min="6" max="6" width="20" hidden="0" customWidth="1"/>
    <x:col min="7" max="7" width="38" hidden="0" customWidth="1"/>
  </x:cols>
  <x:sheetData>
    <x:row r="1">
      <x:c r="A1" s="15" t="str">
        <x:v>ShadowNAV — пилотная вселенная BDC</x:v>
      </x:c>
      <x:c r="B1" s="15"/>
      <x:c r="C1" s="15"/>
      <x:c r="D1" s="15"/>
      <x:c r="E1" s="15"/>
      <x:c r="F1" s="15"/>
      <x:c r="G1" s="15"/>
    </x:row>
    <x:row r="2">
      <x:c r="A2" s="24" t="str">
        <x:v>Цель Day 1: проверить порядок раскрытий. Это НЕ финальный universe и НЕ доказательство exact facility overlap.</x:v>
      </x:c>
      <x:c r="B2" s="24" t="str">
        <x:v>Цель Day 1: проверить порядок раскрытий. Это НЕ финальный universe и НЕ доказательство exact facility overlap.</x:v>
      </x:c>
      <x:c r="C2" s="24" t="str">
        <x:v>Цель Day 1: проверить порядок раскрытий. Это НЕ финальный universe и НЕ доказательство exact facility overlap.</x:v>
      </x:c>
      <x:c r="D2" s="24" t="str">
        <x:v>Цель Day 1: проверить порядок раскрытий. Это НЕ финальный universe и НЕ доказательство exact facility overlap.</x:v>
      </x:c>
      <x:c r="E2" s="24" t="str">
        <x:v>Цель Day 1: проверить порядок раскрытий. Это НЕ финальный universe и НЕ доказательство exact facility overlap.</x:v>
      </x:c>
      <x:c r="F2" s="24" t="str">
        <x:v>Цель Day 1: проверить порядок раскрытий. Это НЕ финальный universe и НЕ доказательство exact facility overlap.</x:v>
      </x:c>
      <x:c r="G2" s="24" t="str">
        <x:v>Цель Day 1: проверить порядок раскрытий. Это НЕ финальный universe и НЕ доказательство exact facility overlap.</x:v>
      </x:c>
    </x:row>
    <x:row r="4">
      <x:c r="A4" s="6" t="str">
        <x:v>Ticker</x:v>
      </x:c>
      <x:c r="B4" s="6" t="str">
        <x:v>CIK</x:v>
      </x:c>
      <x:c r="C4" s="6" t="str">
        <x:v>Registrant</x:v>
      </x:c>
      <x:c r="D4" s="6" t="str">
        <x:v>Manager</x:v>
      </x:c>
      <x:c r="E4" s="6" t="str">
        <x:v>Listing status</x:v>
      </x:c>
      <x:c r="F4" s="6" t="str">
        <x:v>Роль в пилоте</x:v>
      </x:c>
      <x:c r="G4" s="6" t="str">
        <x:v>Day 1 note</x:v>
      </x:c>
    </x:row>
    <x:row r="5">
      <x:c r="A5" s="32" t="str">
        <x:v>ARCC</x:v>
      </x:c>
      <x:c r="B5" s="33" t="n">
        <x:v>1287750</x:v>
      </x:c>
      <x:c r="C5" s="20" t="str">
        <x:v>Ares Capital Corporation</x:v>
      </x:c>
      <x:c r="D5" s="20" t="str">
        <x:v>Ares</x:v>
      </x:c>
      <x:c r="E5" s="20" t="str">
        <x:v>Listed</x:v>
      </x:c>
      <x:c r="F5" s="20" t="str">
        <x:v>Primary source/target</x:v>
      </x:c>
      <x:c r="G5" s="20" t="str">
        <x:v>Systematically early filer in pilot</x:v>
      </x:c>
    </x:row>
    <x:row r="6">
      <x:c r="A6" s="32" t="str">
        <x:v>FSK</x:v>
      </x:c>
      <x:c r="B6" s="33" t="n">
        <x:v>1422183</x:v>
      </x:c>
      <x:c r="C6" s="20" t="str">
        <x:v>FS KKR Capital Corp.</x:v>
      </x:c>
      <x:c r="D6" s="20" t="str">
        <x:v>FS Investments / KKR</x:v>
      </x:c>
      <x:c r="E6" s="20" t="str">
        <x:v>Listed</x:v>
      </x:c>
      <x:c r="F6" s="20" t="str">
        <x:v>Source/target</x:v>
      </x:c>
      <x:c r="G6" s="20" t="str"/>
    </x:row>
    <x:row r="7">
      <x:c r="A7" s="32" t="str">
        <x:v>OBDC</x:v>
      </x:c>
      <x:c r="B7" s="33" t="n">
        <x:v>1655888</x:v>
      </x:c>
      <x:c r="C7" s="20" t="str">
        <x:v>Blue Owl Capital Corporation</x:v>
      </x:c>
      <x:c r="D7" s="20" t="str">
        <x:v>Blue Owl</x:v>
      </x:c>
      <x:c r="E7" s="20" t="str">
        <x:v>Listed</x:v>
      </x:c>
      <x:c r="F7" s="20" t="str">
        <x:v>Source/target</x:v>
      </x:c>
      <x:c r="G7" s="20" t="str"/>
    </x:row>
    <x:row r="8">
      <x:c r="A8" s="32" t="str">
        <x:v>BXSL</x:v>
      </x:c>
      <x:c r="B8" s="33" t="n">
        <x:v>1736035</x:v>
      </x:c>
      <x:c r="C8" s="20" t="str">
        <x:v>Blackstone Secured Lending Fund</x:v>
      </x:c>
      <x:c r="D8" s="20" t="str">
        <x:v>Blackstone</x:v>
      </x:c>
      <x:c r="E8" s="20" t="str">
        <x:v>Listed</x:v>
      </x:c>
      <x:c r="F8" s="20" t="str">
        <x:v>Source/target</x:v>
      </x:c>
      <x:c r="G8" s="20" t="str"/>
    </x:row>
    <x:row r="9">
      <x:c r="A9" s="32" t="str">
        <x:v>MAIN</x:v>
      </x:c>
      <x:c r="B9" s="33" t="n">
        <x:v>1396440</x:v>
      </x:c>
      <x:c r="C9" s="20" t="str">
        <x:v>Main Street Capital Corporation</x:v>
      </x:c>
      <x:c r="D9" s="20" t="str">
        <x:v>Main Street</x:v>
      </x:c>
      <x:c r="E9" s="20" t="str">
        <x:v>Listed</x:v>
      </x:c>
      <x:c r="F9" s="20" t="str">
        <x:v>Source/target</x:v>
      </x:c>
      <x:c r="G9" s="20" t="str"/>
    </x:row>
    <x:row r="10">
      <x:c r="A10" s="32" t="str">
        <x:v>GBDC</x:v>
      </x:c>
      <x:c r="B10" s="33" t="n">
        <x:v>1476765</x:v>
      </x:c>
      <x:c r="C10" s="20" t="str">
        <x:v>Golub Capital BDC, Inc.</x:v>
      </x:c>
      <x:c r="D10" s="20" t="str">
        <x:v>Golub Capital</x:v>
      </x:c>
      <x:c r="E10" s="20" t="str">
        <x:v>Listed</x:v>
      </x:c>
      <x:c r="F10" s="20" t="str">
        <x:v>Source/target</x:v>
      </x:c>
      <x:c r="G10" s="20" t="str"/>
    </x:row>
    <x:row r="11">
      <x:c r="A11" s="32" t="str">
        <x:v>TSLX</x:v>
      </x:c>
      <x:c r="B11" s="33" t="n">
        <x:v>1508655</x:v>
      </x:c>
      <x:c r="C11" s="20" t="str">
        <x:v>Sixth Street Specialty Lending, Inc.</x:v>
      </x:c>
      <x:c r="D11" s="20" t="str">
        <x:v>Sixth Street</x:v>
      </x:c>
      <x:c r="E11" s="20" t="str">
        <x:v>Listed</x:v>
      </x:c>
      <x:c r="F11" s="20" t="str">
        <x:v>Source/target</x:v>
      </x:c>
      <x:c r="G11" s="20" t="str">
        <x:v>Often early filer</x:v>
      </x:c>
    </x:row>
    <x:row r="12">
      <x:c r="A12" s="32" t="str">
        <x:v>HTGC</x:v>
      </x:c>
      <x:c r="B12" s="33" t="n">
        <x:v>1280784</x:v>
      </x:c>
      <x:c r="C12" s="20" t="str">
        <x:v>Hercules Capital, Inc.</x:v>
      </x:c>
      <x:c r="D12" s="20" t="str">
        <x:v>Hercules</x:v>
      </x:c>
      <x:c r="E12" s="20" t="str">
        <x:v>Listed</x:v>
      </x:c>
      <x:c r="F12" s="20" t="str">
        <x:v>Source/target</x:v>
      </x:c>
      <x:c r="G12" s="20" t="str">
        <x:v>Often early filer</x:v>
      </x:c>
    </x:row>
    <x:row r="13">
      <x:c r="A13" s="32" t="str">
        <x:v>CSWC</x:v>
      </x:c>
      <x:c r="B13" s="33" t="n">
        <x:v>17313</x:v>
      </x:c>
      <x:c r="C13" s="20" t="str">
        <x:v>Capital Southwest Corporation</x:v>
      </x:c>
      <x:c r="D13" s="20" t="str">
        <x:v>Capital Southwest</x:v>
      </x:c>
      <x:c r="E13" s="20" t="str">
        <x:v>Listed</x:v>
      </x:c>
      <x:c r="F13" s="20" t="str">
        <x:v>Source/target</x:v>
      </x:c>
      <x:c r="G13" s="20" t="str">
        <x:v>Reporting order is volatile</x:v>
      </x:c>
    </x:row>
    <x:row r="14">
      <x:c r="A14" s="32" t="str">
        <x:v>CGBD</x:v>
      </x:c>
      <x:c r="B14" s="33" t="n">
        <x:v>1544206</x:v>
      </x:c>
      <x:c r="C14" s="20" t="str">
        <x:v>Carlyle Secured Lending, Inc.</x:v>
      </x:c>
      <x:c r="D14" s="20" t="str">
        <x:v>Carlyle</x:v>
      </x:c>
      <x:c r="E14" s="20" t="str">
        <x:v>Listed</x:v>
      </x:c>
      <x:c r="F14" s="20" t="str">
        <x:v>Source/target</x:v>
      </x:c>
      <x:c r="G14" s="20" t="str"/>
    </x:row>
    <x:row r="15">
      <x:c r="A15" s="32" t="str">
        <x:v>MFIC</x:v>
      </x:c>
      <x:c r="B15" s="33" t="n">
        <x:v>1278752</x:v>
      </x:c>
      <x:c r="C15" s="20" t="str">
        <x:v>MidCap Financial Investment Corporation</x:v>
      </x:c>
      <x:c r="D15" s="20" t="str">
        <x:v>MidCap / Apollo</x:v>
      </x:c>
      <x:c r="E15" s="20" t="str">
        <x:v>Listed</x:v>
      </x:c>
      <x:c r="F15" s="20" t="str">
        <x:v>Source/target</x:v>
      </x:c>
      <x:c r="G15" s="20" t="str"/>
    </x:row>
    <x:row r="16">
      <x:c r="A16" s="32" t="str">
        <x:v>NMFC</x:v>
      </x:c>
      <x:c r="B16" s="33" t="n">
        <x:v>1496099</x:v>
      </x:c>
      <x:c r="C16" s="20" t="str">
        <x:v>New Mountain Finance Corporation</x:v>
      </x:c>
      <x:c r="D16" s="20" t="str">
        <x:v>New Mountain</x:v>
      </x:c>
      <x:c r="E16" s="20" t="str">
        <x:v>Listed</x:v>
      </x:c>
      <x:c r="F16" s="20" t="str">
        <x:v>Source/target</x:v>
      </x:c>
      <x:c r="G16" s="20" t="str"/>
    </x:row>
    <x:row r="17">
      <x:c r="A17" s="32" t="str">
        <x:v>OCSL</x:v>
      </x:c>
      <x:c r="B17" s="33" t="n">
        <x:v>1414932</x:v>
      </x:c>
      <x:c r="C17" s="20" t="str">
        <x:v>Oaktree Specialty Lending Corporation</x:v>
      </x:c>
      <x:c r="D17" s="20" t="str">
        <x:v>Oaktree</x:v>
      </x:c>
      <x:c r="E17" s="20" t="str">
        <x:v>Listed</x:v>
      </x:c>
      <x:c r="F17" s="20" t="str">
        <x:v>Source/target</x:v>
      </x:c>
      <x:c r="G17" s="20" t="str"/>
    </x:row>
    <x:row r="18">
      <x:c r="A18" s="32" t="str">
        <x:v>BCSF</x:v>
      </x:c>
      <x:c r="B18" s="33" t="n">
        <x:v>1655050</x:v>
      </x:c>
      <x:c r="C18" s="20" t="str">
        <x:v>Bain Capital Specialty Finance, Inc.</x:v>
      </x:c>
      <x:c r="D18" s="20" t="str">
        <x:v>Bain Capital</x:v>
      </x:c>
      <x:c r="E18" s="20" t="str">
        <x:v>Listed</x:v>
      </x:c>
      <x:c r="F18" s="20" t="str">
        <x:v>Source/target</x:v>
      </x:c>
      <x:c r="G18" s="20" t="str"/>
    </x:row>
    <x:row r="19">
      <x:c r="A19" s="32" t="str">
        <x:v>CION</x:v>
      </x:c>
      <x:c r="B19" s="33" t="n">
        <x:v>1534254</x:v>
      </x:c>
      <x:c r="C19" s="20" t="str">
        <x:v>CION Investment Corporation</x:v>
      </x:c>
      <x:c r="D19" s="20" t="str">
        <x:v>CION Investment Management</x:v>
      </x:c>
      <x:c r="E19" s="20" t="str">
        <x:v>Listed</x:v>
      </x:c>
      <x:c r="F19" s="20" t="str">
        <x:v>Source/target</x:v>
      </x:c>
      <x:c r="G19" s="20" t="str"/>
    </x:row>
    <x:row r="20">
      <x:c r="A20" s="32" t="str">
        <x:v>BCRED</x:v>
      </x:c>
      <x:c r="B20" s="33" t="n">
        <x:v>1803498</x:v>
      </x:c>
      <x:c r="C20" s="20" t="str">
        <x:v>Blackstone Private Credit Fund</x:v>
      </x:c>
      <x:c r="D20" s="20" t="str">
        <x:v>Blackstone</x:v>
      </x:c>
      <x:c r="E20" s="20" t="str">
        <x:v>Non-listed</x:v>
      </x:c>
      <x:c r="F20" s="20" t="str">
        <x:v>Source only</x:v>
      </x:c>
      <x:c r="G20" s="20" t="str">
        <x:v>Usually later than large listed BDCs in pilot</x:v>
      </x:c>
    </x:row>
    <x:row r="21">
      <x:c r="A21" s="32" t="str">
        <x:v>OCIC</x:v>
      </x:c>
      <x:c r="B21" s="33" t="n">
        <x:v>1812554</x:v>
      </x:c>
      <x:c r="C21" s="20" t="str">
        <x:v>Blue Owl Credit Income Corp.</x:v>
      </x:c>
      <x:c r="D21" s="20" t="str">
        <x:v>Blue Owl</x:v>
      </x:c>
      <x:c r="E21" s="20" t="str">
        <x:v>Non-listed</x:v>
      </x:c>
      <x:c r="F21" s="20" t="str">
        <x:v>Source only</x:v>
      </x:c>
      <x:c r="G21" s="20" t="str">
        <x:v>Some early windows exist</x:v>
      </x:c>
    </x:row>
    <x:row r="22">
      <x:c r="A22" s="32" t="str">
        <x:v>ADS</x:v>
      </x:c>
      <x:c r="B22" s="33" t="n">
        <x:v>1837532</x:v>
      </x:c>
      <x:c r="C22" s="20" t="str">
        <x:v>Apollo Debt Solutions BDC</x:v>
      </x:c>
      <x:c r="D22" s="20" t="str">
        <x:v>Apollo</x:v>
      </x:c>
      <x:c r="E22" s="20" t="str">
        <x:v>Non-listed</x:v>
      </x:c>
      <x:c r="F22" s="20" t="str">
        <x:v>Source only</x:v>
      </x:c>
      <x:c r="G22" s="20" t="str">
        <x:v>Some early windows exist</x:v>
      </x:c>
    </x:row>
    <x:row r="23">
      <x:c r="A23" s="32" t="str">
        <x:v>ASIF</x:v>
      </x:c>
      <x:c r="B23" s="33" t="n">
        <x:v>1918712</x:v>
      </x:c>
      <x:c r="C23" s="20" t="str">
        <x:v>Ares Strategic Income Fund</x:v>
      </x:c>
      <x:c r="D23" s="20" t="str">
        <x:v>Ares</x:v>
      </x:c>
      <x:c r="E23" s="20" t="str">
        <x:v>Non-listed</x:v>
      </x:c>
      <x:c r="F23" s="20" t="str">
        <x:v>Source only</x:v>
      </x:c>
      <x:c r="G23" s="20" t="str">
        <x:v>Some early windows exist</x:v>
      </x:c>
    </x:row>
    <x:row r="24">
      <x:c r="A24" s="32" t="str">
        <x:v>GCP</x:v>
      </x:c>
      <x:c r="B24" s="33" t="n">
        <x:v>1930087</x:v>
      </x:c>
      <x:c r="C24" s="20" t="str">
        <x:v>Golub Capital Private Credit Fund</x:v>
      </x:c>
      <x:c r="D24" s="20" t="str">
        <x:v>Golub Capital</x:v>
      </x:c>
      <x:c r="E24" s="20" t="str">
        <x:v>Non-listed</x:v>
      </x:c>
      <x:c r="F24" s="20" t="str">
        <x:v>Source only</x:v>
      </x:c>
      <x:c r="G24" s="20" t="str">
        <x:v>Manual chronology review required for some periods</x:v>
      </x:c>
    </x:row>
  </x:sheetData>
  <x:mergeCells>
    <x:mergeCell ref="A1:G1"/>
    <x:mergeCell ref="A2:G2"/>
  </x:mergeCells>
  <x:conditionalFormatting sqref="E5:E24">
    <x:cfRule type="expression" dxfId="0" priority="1">
      <x:formula>E5="Listed"</x:formula>
    </x:cfRule>
    <x:cfRule type="expression" dxfId="1" priority="2">
      <x:formula>E5="Non-listed"</x:formula>
    </x:cfRule>
  </x:conditionalFormatting>
  <x:pageMargins left="0.7" right="0.7" top="0.75" bottom="0.75" header="0.3" footer="0.3"/>
  <x:tableParts count="1">
    <x:tablePart xmlns:r="http://schemas.openxmlformats.org/officeDocument/2006/relationships" r:id="R9eef0e0cfe1a4977"/>
  </x:tableParts>
</x:worksheet>
</file>

<file path=xl/worksheets/sheet5.xml><?xml version="1.0" encoding="utf-8"?>
<x:worksheet xmlns:x="http://schemas.openxmlformats.org/spreadsheetml/2006/main">
  <x:sheetFormatPr defaultRowHeight="15"/>
  <x:cols>
    <x:col min="1" max="1" width="10" hidden="0" customWidth="1"/>
    <x:col min="2" max="2" width="12" hidden="0" customWidth="1"/>
    <x:col min="3" max="3" width="9" hidden="0" customWidth="1"/>
    <x:col min="4" max="4" width="12" hidden="0" customWidth="1"/>
    <x:col min="5" max="5" width="22" hidden="0" customWidth="1"/>
    <x:col min="6" max="6" width="14" hidden="0" customWidth="1"/>
    <x:col min="7" max="7" width="12" hidden="0" customWidth="1"/>
    <x:col min="8" max="8" width="10" hidden="0" customWidth="1"/>
    <x:col min="9" max="9" width="14" hidden="0" customWidth="1"/>
    <x:col min="10" max="10" width="12" hidden="0" customWidth="1"/>
    <x:col min="11" max="11" width="11" hidden="0" customWidth="1"/>
    <x:col min="12" max="12" width="16" hidden="0" customWidth="1"/>
    <x:col min="13" max="13" width="42" hidden="0" customWidth="1"/>
    <x:col min="14" max="14" width="50" hidden="0" customWidth="1"/>
  </x:cols>
  <x:sheetData>
    <x:row r="1">
      <x:c r="A1" s="15" t="str">
        <x:v>ShadowNAV Day 1 — календарь первого публичного раскрытия BDC</x:v>
      </x:c>
      <x:c r="B1" s="15"/>
      <x:c r="C1" s="15"/>
      <x:c r="D1" s="15"/>
      <x:c r="E1" s="15"/>
      <x:c r="F1" s="15"/>
      <x:c r="G1" s="15"/>
      <x:c r="H1" s="15"/>
      <x:c r="I1" s="15"/>
      <x:c r="J1" s="15"/>
      <x:c r="K1" s="15"/>
      <x:c r="L1" s="15"/>
      <x:c r="M1" s="15"/>
      <x:c r="N1" s="15"/>
    </x:row>
    <x:row r="2">
      <x:c r="A2" s="24" t="str">
        <x:v>SUPERSEDED WARNING: several heuristic 8-K dates were scheduling/dividend announcements, not results (e.g., OBDC 2025Q2 07-01; GBDC 2025Q2 07-07). Use Codex reporting_order.csv and verify first RESULTS/NAV disclosure by 8-K Item 2.02/EX-99/IR release + acceptance timestamp.</x:v>
      </x:c>
      <x:c r="B2" s="24"/>
      <x:c r="C2" s="24"/>
      <x:c r="D2" s="24"/>
      <x:c r="E2" s="24"/>
      <x:c r="F2" s="24"/>
      <x:c r="G2" s="24"/>
      <x:c r="H2" s="24"/>
      <x:c r="I2" s="24"/>
      <x:c r="J2" s="24"/>
      <x:c r="K2" s="24"/>
      <x:c r="L2" s="24"/>
      <x:c r="M2" s="24"/>
      <x:c r="N2" s="24"/>
    </x:row>
    <x:row r="4">
      <x:c r="A4" s="6" t="str">
        <x:v>Period</x:v>
      </x:c>
      <x:c r="B4" s="6" t="str">
        <x:v>Period end</x:v>
      </x:c>
      <x:c r="C4" s="6" t="str">
        <x:v>Ticker</x:v>
      </x:c>
      <x:c r="D4" s="6" t="str">
        <x:v>Listing</x:v>
      </x:c>
      <x:c r="E4" s="6" t="str">
        <x:v>Manager</x:v>
      </x:c>
      <x:c r="F4" s="6" t="str">
        <x:v>First public date</x:v>
      </x:c>
      <x:c r="G4" s="6" t="str">
        <x:v>First public time</x:v>
      </x:c>
      <x:c r="H4" s="6" t="str">
        <x:v>First form</x:v>
      </x:c>
      <x:c r="I4" s="6" t="str">
        <x:v>Periodic filing date</x:v>
      </x:c>
      <x:c r="J4" s="6" t="str">
        <x:v>Lead vs periodic (days)</x:v>
      </x:c>
      <x:c r="K4" s="6" t="str">
        <x:v>Confidence</x:v>
      </x:c>
      <x:c r="L4" s="6" t="str">
        <x:v>Timestamp verified</x:v>
      </x:c>
      <x:c r="M4" s="6" t="str">
        <x:v>Notes</x:v>
      </x:c>
      <x:c r="N4" s="6" t="str">
        <x:v>Source URL</x:v>
      </x:c>
    </x:row>
    <x:row r="5">
      <x:c r="A5" s="20" t="str">
        <x:v>2025Q2</x:v>
      </x:c>
      <x:c r="B5" s="40" t="n">
        <x:v>45838</x:v>
      </x:c>
      <x:c r="C5" s="20" t="str">
        <x:v>ARCC</x:v>
      </x:c>
      <x:c r="D5" s="20" t="str">
        <x:v>Listed</x:v>
      </x:c>
      <x:c r="E5" s="20" t="str">
        <x:v>Ares</x:v>
      </x:c>
      <x:c r="F5" s="40" t="n">
        <x:v>45867</x:v>
      </x:c>
      <x:c r="G5" s="20"/>
      <x:c r="H5" s="20" t="str">
        <x:v>8-K</x:v>
      </x:c>
      <x:c r="I5" s="40" t="n">
        <x:v>45867</x:v>
      </x:c>
      <x:c r="J5" s="41" t="n">
        <x:v>0</x:v>
      </x:c>
      <x:c r="K5" s="20" t="str">
        <x:v>Medium</x:v>
      </x:c>
      <x:c r="L5" s="20" t="str">
        <x:v>Нет</x:v>
      </x:c>
      <x:c r="M5" s="20" t="str">
        <x:v>Earnings/NAV 8-K heuristic; timestamp verification pending</x:v>
      </x:c>
      <x:c r="N5" s="20" t="str">
        <x:v>https://www.sec.gov/Archives/edgar/full-index/2025/QTR3/master.idx</x:v>
      </x:c>
    </x:row>
    <x:row r="6">
      <x:c r="A6" s="20" t="str">
        <x:v>2025Q3</x:v>
      </x:c>
      <x:c r="B6" s="40" t="n">
        <x:v>45930</x:v>
      </x:c>
      <x:c r="C6" s="20" t="str">
        <x:v>ARCC</x:v>
      </x:c>
      <x:c r="D6" s="20" t="str">
        <x:v>Listed</x:v>
      </x:c>
      <x:c r="E6" s="20" t="str">
        <x:v>Ares</x:v>
      </x:c>
      <x:c r="F6" s="40" t="n">
        <x:v>45958</x:v>
      </x:c>
      <x:c r="G6" s="20"/>
      <x:c r="H6" s="20" t="str">
        <x:v>8-K</x:v>
      </x:c>
      <x:c r="I6" s="40" t="n">
        <x:v>45958</x:v>
      </x:c>
      <x:c r="J6" s="41" t="n">
        <x:v>0</x:v>
      </x:c>
      <x:c r="K6" s="20" t="str">
        <x:v>Medium</x:v>
      </x:c>
      <x:c r="L6" s="20" t="str">
        <x:v>Нет</x:v>
      </x:c>
      <x:c r="M6" s="20" t="str"/>
      <x:c r="N6" s="20" t="str">
        <x:v>https://www.sec.gov/Archives/edgar/full-index/2025/QTR4/master.idx</x:v>
      </x:c>
    </x:row>
    <x:row r="7">
      <x:c r="A7" s="20" t="str">
        <x:v>2025Q4</x:v>
      </x:c>
      <x:c r="B7" s="40" t="n">
        <x:v>46022</x:v>
      </x:c>
      <x:c r="C7" s="20" t="str">
        <x:v>ARCC</x:v>
      </x:c>
      <x:c r="D7" s="20" t="str">
        <x:v>Listed</x:v>
      </x:c>
      <x:c r="E7" s="20" t="str">
        <x:v>Ares</x:v>
      </x:c>
      <x:c r="F7" s="40" t="n">
        <x:v>46057</x:v>
      </x:c>
      <x:c r="G7" s="20"/>
      <x:c r="H7" s="20" t="str">
        <x:v>8-K</x:v>
      </x:c>
      <x:c r="I7" s="40" t="n">
        <x:v>46057</x:v>
      </x:c>
      <x:c r="J7" s="41" t="n">
        <x:v>0</x:v>
      </x:c>
      <x:c r="K7" s="20" t="str">
        <x:v>Medium</x:v>
      </x:c>
      <x:c r="L7" s="20" t="str">
        <x:v>Нет</x:v>
      </x:c>
      <x:c r="M7" s="20" t="str"/>
      <x:c r="N7" s="20" t="str">
        <x:v>https://www.sec.gov/Archives/edgar/full-index/2026/QTR1/master.idx</x:v>
      </x:c>
    </x:row>
    <x:row r="8">
      <x:c r="A8" s="20" t="str">
        <x:v>2026Q1</x:v>
      </x:c>
      <x:c r="B8" s="40" t="n">
        <x:v>46112</x:v>
      </x:c>
      <x:c r="C8" s="20" t="str">
        <x:v>ARCC</x:v>
      </x:c>
      <x:c r="D8" s="20" t="str">
        <x:v>Listed</x:v>
      </x:c>
      <x:c r="E8" s="20" t="str">
        <x:v>Ares</x:v>
      </x:c>
      <x:c r="F8" s="40" t="n">
        <x:v>46140</x:v>
      </x:c>
      <x:c r="G8" s="20"/>
      <x:c r="H8" s="20" t="str">
        <x:v>8-K</x:v>
      </x:c>
      <x:c r="I8" s="40" t="n">
        <x:v>46140</x:v>
      </x:c>
      <x:c r="J8" s="41" t="n">
        <x:v>0</x:v>
      </x:c>
      <x:c r="K8" s="20" t="str">
        <x:v>Medium</x:v>
      </x:c>
      <x:c r="L8" s="20" t="str">
        <x:v>Нет</x:v>
      </x:c>
      <x:c r="M8" s="20" t="str"/>
      <x:c r="N8" s="20" t="str">
        <x:v>https://www.sec.gov/Archives/edgar/full-index/2026/QTR2/master.idx</x:v>
      </x:c>
    </x:row>
    <x:row r="9">
      <x:c r="A9" s="20" t="str">
        <x:v>2025Q2</x:v>
      </x:c>
      <x:c r="B9" s="40" t="n">
        <x:v>45838</x:v>
      </x:c>
      <x:c r="C9" s="20" t="str">
        <x:v>FSK</x:v>
      </x:c>
      <x:c r="D9" s="20" t="str">
        <x:v>Listed</x:v>
      </x:c>
      <x:c r="E9" s="20" t="str">
        <x:v>FS Investments / KKR</x:v>
      </x:c>
      <x:c r="F9" s="40" t="n">
        <x:v>45875</x:v>
      </x:c>
      <x:c r="G9" s="20"/>
      <x:c r="H9" s="20" t="str">
        <x:v>8-K</x:v>
      </x:c>
      <x:c r="I9" s="40" t="n">
        <x:v>45875</x:v>
      </x:c>
      <x:c r="J9" s="41" t="n">
        <x:v>0</x:v>
      </x:c>
      <x:c r="K9" s="20" t="str">
        <x:v>Medium</x:v>
      </x:c>
      <x:c r="L9" s="20" t="str">
        <x:v>Нет</x:v>
      </x:c>
      <x:c r="M9" s="20" t="str"/>
      <x:c r="N9" s="20" t="str">
        <x:v>https://www.sec.gov/Archives/edgar/full-index/2025/QTR3/master.idx</x:v>
      </x:c>
    </x:row>
    <x:row r="10">
      <x:c r="A10" s="20" t="str">
        <x:v>2025Q3</x:v>
      </x:c>
      <x:c r="B10" s="40" t="n">
        <x:v>45930</x:v>
      </x:c>
      <x:c r="C10" s="20" t="str">
        <x:v>FSK</x:v>
      </x:c>
      <x:c r="D10" s="20" t="str">
        <x:v>Listed</x:v>
      </x:c>
      <x:c r="E10" s="20" t="str">
        <x:v>FS Investments / KKR</x:v>
      </x:c>
      <x:c r="F10" s="40" t="n">
        <x:v>45966</x:v>
      </x:c>
      <x:c r="G10" s="20"/>
      <x:c r="H10" s="20" t="str">
        <x:v>8-K</x:v>
      </x:c>
      <x:c r="I10" s="40" t="n">
        <x:v>45966</x:v>
      </x:c>
      <x:c r="J10" s="41" t="n">
        <x:v>0</x:v>
      </x:c>
      <x:c r="K10" s="20" t="str">
        <x:v>Medium</x:v>
      </x:c>
      <x:c r="L10" s="20" t="str">
        <x:v>Нет</x:v>
      </x:c>
      <x:c r="M10" s="20" t="str"/>
      <x:c r="N10" s="20" t="str">
        <x:v>https://www.sec.gov/Archives/edgar/full-index/2025/QTR4/master.idx</x:v>
      </x:c>
    </x:row>
    <x:row r="11">
      <x:c r="A11" s="20" t="str">
        <x:v>2025Q4</x:v>
      </x:c>
      <x:c r="B11" s="40" t="n">
        <x:v>46022</x:v>
      </x:c>
      <x:c r="C11" s="20" t="str">
        <x:v>FSK</x:v>
      </x:c>
      <x:c r="D11" s="20" t="str">
        <x:v>Listed</x:v>
      </x:c>
      <x:c r="E11" s="20" t="str">
        <x:v>FS Investments / KKR</x:v>
      </x:c>
      <x:c r="F11" s="40" t="n">
        <x:v>46078</x:v>
      </x:c>
      <x:c r="G11" s="20"/>
      <x:c r="H11" s="20" t="str">
        <x:v>8-K</x:v>
      </x:c>
      <x:c r="I11" s="40" t="n">
        <x:v>46078</x:v>
      </x:c>
      <x:c r="J11" s="41" t="n">
        <x:v>0</x:v>
      </x:c>
      <x:c r="K11" s="20" t="str">
        <x:v>Medium</x:v>
      </x:c>
      <x:c r="L11" s="20" t="str">
        <x:v>Нет</x:v>
      </x:c>
      <x:c r="M11" s="20" t="str"/>
      <x:c r="N11" s="20" t="str">
        <x:v>https://www.sec.gov/Archives/edgar/full-index/2026/QTR1/master.idx</x:v>
      </x:c>
    </x:row>
    <x:row r="12">
      <x:c r="A12" s="20" t="str">
        <x:v>2026Q1</x:v>
      </x:c>
      <x:c r="B12" s="40" t="n">
        <x:v>46112</x:v>
      </x:c>
      <x:c r="C12" s="20" t="str">
        <x:v>FSK</x:v>
      </x:c>
      <x:c r="D12" s="20" t="str">
        <x:v>Listed</x:v>
      </x:c>
      <x:c r="E12" s="20" t="str">
        <x:v>FS Investments / KKR</x:v>
      </x:c>
      <x:c r="F12" s="40" t="n">
        <x:v>46153</x:v>
      </x:c>
      <x:c r="G12" s="20"/>
      <x:c r="H12" s="20" t="str">
        <x:v>8-K</x:v>
      </x:c>
      <x:c r="I12" s="40" t="n">
        <x:v>46153</x:v>
      </x:c>
      <x:c r="J12" s="41" t="n">
        <x:v>0</x:v>
      </x:c>
      <x:c r="K12" s="20" t="str">
        <x:v>Medium</x:v>
      </x:c>
      <x:c r="L12" s="20" t="str">
        <x:v>Нет</x:v>
      </x:c>
      <x:c r="M12" s="20" t="str"/>
      <x:c r="N12" s="20" t="str">
        <x:v>https://www.sec.gov/Archives/edgar/full-index/2026/QTR2/master.idx</x:v>
      </x:c>
    </x:row>
    <x:row r="13">
      <x:c r="A13" s="20" t="str">
        <x:v>2025Q2</x:v>
      </x:c>
      <x:c r="B13" s="40" t="n">
        <x:v>45838</x:v>
      </x:c>
      <x:c r="C13" s="20" t="str">
        <x:v>OBDC</x:v>
      </x:c>
      <x:c r="D13" s="20" t="str">
        <x:v>Listed</x:v>
      </x:c>
      <x:c r="E13" s="20" t="str">
        <x:v>Blue Owl</x:v>
      </x:c>
      <x:c r="F13" s="40" t="n">
        <x:v>45875</x:v>
      </x:c>
      <x:c r="G13" s="20"/>
      <x:c r="H13" s="20" t="str">
        <x:v>8-K</x:v>
      </x:c>
      <x:c r="I13" s="40" t="n">
        <x:v>45875</x:v>
      </x:c>
      <x:c r="J13" s="41" t="n">
        <x:v>0</x:v>
      </x:c>
      <x:c r="K13" s="20" t="str">
        <x:v>Medium</x:v>
      </x:c>
      <x:c r="L13" s="20" t="str">
        <x:v>Нет</x:v>
      </x:c>
      <x:c r="M13" s="20" t="str"/>
      <x:c r="N13" s="20" t="str">
        <x:v>https://www.sec.gov/Archives/edgar/full-index/2025/QTR3/master.idx</x:v>
      </x:c>
    </x:row>
    <x:row r="14">
      <x:c r="A14" s="20" t="str">
        <x:v>2025Q3</x:v>
      </x:c>
      <x:c r="B14" s="40" t="n">
        <x:v>45930</x:v>
      </x:c>
      <x:c r="C14" s="20" t="str">
        <x:v>OBDC</x:v>
      </x:c>
      <x:c r="D14" s="20" t="str">
        <x:v>Listed</x:v>
      </x:c>
      <x:c r="E14" s="20" t="str">
        <x:v>Blue Owl</x:v>
      </x:c>
      <x:c r="F14" s="40" t="n">
        <x:v>45966</x:v>
      </x:c>
      <x:c r="G14" s="20"/>
      <x:c r="H14" s="20" t="str">
        <x:v>8-K</x:v>
      </x:c>
      <x:c r="I14" s="40" t="n">
        <x:v>45966</x:v>
      </x:c>
      <x:c r="J14" s="41" t="n">
        <x:v>0</x:v>
      </x:c>
      <x:c r="K14" s="20" t="str">
        <x:v>Medium</x:v>
      </x:c>
      <x:c r="L14" s="20" t="str">
        <x:v>Нет</x:v>
      </x:c>
      <x:c r="M14" s="20" t="str"/>
      <x:c r="N14" s="20" t="str">
        <x:v>https://www.sec.gov/Archives/edgar/full-index/2025/QTR4/master.idx</x:v>
      </x:c>
    </x:row>
    <x:row r="15">
      <x:c r="A15" s="20" t="str">
        <x:v>2025Q4</x:v>
      </x:c>
      <x:c r="B15" s="40" t="n">
        <x:v>46022</x:v>
      </x:c>
      <x:c r="C15" s="20" t="str">
        <x:v>OBDC</x:v>
      </x:c>
      <x:c r="D15" s="20" t="str">
        <x:v>Listed</x:v>
      </x:c>
      <x:c r="E15" s="20" t="str">
        <x:v>Blue Owl</x:v>
      </x:c>
      <x:c r="F15" s="40" t="n">
        <x:v>46071</x:v>
      </x:c>
      <x:c r="G15" s="20"/>
      <x:c r="H15" s="20" t="str">
        <x:v>8-K</x:v>
      </x:c>
      <x:c r="I15" s="40" t="n">
        <x:v>46071</x:v>
      </x:c>
      <x:c r="J15" s="41" t="n">
        <x:v>0</x:v>
      </x:c>
      <x:c r="K15" s="20" t="str">
        <x:v>Medium</x:v>
      </x:c>
      <x:c r="L15" s="20" t="str">
        <x:v>Нет</x:v>
      </x:c>
      <x:c r="M15" s="20" t="str"/>
      <x:c r="N15" s="20" t="str">
        <x:v>https://www.sec.gov/Archives/edgar/full-index/2026/QTR1/master.idx</x:v>
      </x:c>
    </x:row>
    <x:row r="16">
      <x:c r="A16" s="20" t="str">
        <x:v>2026Q1</x:v>
      </x:c>
      <x:c r="B16" s="40" t="n">
        <x:v>46112</x:v>
      </x:c>
      <x:c r="C16" s="20" t="str">
        <x:v>OBDC</x:v>
      </x:c>
      <x:c r="D16" s="20" t="str">
        <x:v>Listed</x:v>
      </x:c>
      <x:c r="E16" s="20" t="str">
        <x:v>Blue Owl</x:v>
      </x:c>
      <x:c r="F16" s="40" t="n">
        <x:v>46148</x:v>
      </x:c>
      <x:c r="G16" s="20"/>
      <x:c r="H16" s="20" t="str">
        <x:v>8-K</x:v>
      </x:c>
      <x:c r="I16" s="40" t="n">
        <x:v>46148</x:v>
      </x:c>
      <x:c r="J16" s="41" t="n">
        <x:v>0</x:v>
      </x:c>
      <x:c r="K16" s="20" t="str">
        <x:v>Medium</x:v>
      </x:c>
      <x:c r="L16" s="20" t="str">
        <x:v>Нет</x:v>
      </x:c>
      <x:c r="M16" s="20" t="str"/>
      <x:c r="N16" s="20" t="str">
        <x:v>https://www.sec.gov/Archives/edgar/full-index/2026/QTR2/master.idx</x:v>
      </x:c>
    </x:row>
    <x:row r="17">
      <x:c r="A17" s="20" t="str">
        <x:v>2025Q2</x:v>
      </x:c>
      <x:c r="B17" s="40" t="n">
        <x:v>45838</x:v>
      </x:c>
      <x:c r="C17" s="20" t="str">
        <x:v>BXSL</x:v>
      </x:c>
      <x:c r="D17" s="20" t="str">
        <x:v>Listed</x:v>
      </x:c>
      <x:c r="E17" s="20" t="str">
        <x:v>Blackstone</x:v>
      </x:c>
      <x:c r="F17" s="40" t="n">
        <x:v>45875</x:v>
      </x:c>
      <x:c r="G17" s="20"/>
      <x:c r="H17" s="20" t="str">
        <x:v>8-K</x:v>
      </x:c>
      <x:c r="I17" s="40" t="n">
        <x:v>45875</x:v>
      </x:c>
      <x:c r="J17" s="41" t="n">
        <x:v>0</x:v>
      </x:c>
      <x:c r="K17" s="20" t="str">
        <x:v>Medium</x:v>
      </x:c>
      <x:c r="L17" s="20" t="str">
        <x:v>Нет</x:v>
      </x:c>
      <x:c r="M17" s="20" t="str"/>
      <x:c r="N17" s="20" t="str">
        <x:v>https://www.sec.gov/Archives/edgar/full-index/2025/QTR3/master.idx</x:v>
      </x:c>
    </x:row>
    <x:row r="18">
      <x:c r="A18" s="20" t="str">
        <x:v>2025Q3</x:v>
      </x:c>
      <x:c r="B18" s="40" t="n">
        <x:v>45930</x:v>
      </x:c>
      <x:c r="C18" s="20" t="str">
        <x:v>BXSL</x:v>
      </x:c>
      <x:c r="D18" s="20" t="str">
        <x:v>Listed</x:v>
      </x:c>
      <x:c r="E18" s="20" t="str">
        <x:v>Blackstone</x:v>
      </x:c>
      <x:c r="F18" s="40" t="n">
        <x:v>45971</x:v>
      </x:c>
      <x:c r="G18" s="20"/>
      <x:c r="H18" s="20" t="str">
        <x:v>8-K</x:v>
      </x:c>
      <x:c r="I18" s="40" t="n">
        <x:v>45971</x:v>
      </x:c>
      <x:c r="J18" s="41" t="n">
        <x:v>0</x:v>
      </x:c>
      <x:c r="K18" s="20" t="str">
        <x:v>Medium</x:v>
      </x:c>
      <x:c r="L18" s="20" t="str">
        <x:v>Нет</x:v>
      </x:c>
      <x:c r="M18" s="20" t="str"/>
      <x:c r="N18" s="20" t="str">
        <x:v>https://www.sec.gov/Archives/edgar/full-index/2025/QTR4/master.idx</x:v>
      </x:c>
    </x:row>
    <x:row r="19">
      <x:c r="A19" s="20" t="str">
        <x:v>2025Q4</x:v>
      </x:c>
      <x:c r="B19" s="40" t="n">
        <x:v>46022</x:v>
      </x:c>
      <x:c r="C19" s="20" t="str">
        <x:v>BXSL</x:v>
      </x:c>
      <x:c r="D19" s="20" t="str">
        <x:v>Listed</x:v>
      </x:c>
      <x:c r="E19" s="20" t="str">
        <x:v>Blackstone</x:v>
      </x:c>
      <x:c r="F19" s="40" t="n">
        <x:v>46078</x:v>
      </x:c>
      <x:c r="G19" s="20"/>
      <x:c r="H19" s="20" t="str">
        <x:v>8-K</x:v>
      </x:c>
      <x:c r="I19" s="40" t="n">
        <x:v>46078</x:v>
      </x:c>
      <x:c r="J19" s="41" t="n">
        <x:v>0</x:v>
      </x:c>
      <x:c r="K19" s="20" t="str">
        <x:v>Medium</x:v>
      </x:c>
      <x:c r="L19" s="20" t="str">
        <x:v>Нет</x:v>
      </x:c>
      <x:c r="M19" s="20" t="str"/>
      <x:c r="N19" s="20" t="str">
        <x:v>https://www.sec.gov/Archives/edgar/full-index/2026/QTR1/master.idx</x:v>
      </x:c>
    </x:row>
    <x:row r="20">
      <x:c r="A20" s="20" t="str">
        <x:v>2026Q1</x:v>
      </x:c>
      <x:c r="B20" s="40" t="n">
        <x:v>46112</x:v>
      </x:c>
      <x:c r="C20" s="20" t="str">
        <x:v>BXSL</x:v>
      </x:c>
      <x:c r="D20" s="20" t="str">
        <x:v>Listed</x:v>
      </x:c>
      <x:c r="E20" s="20" t="str">
        <x:v>Blackstone</x:v>
      </x:c>
      <x:c r="F20" s="40" t="n">
        <x:v>46149</x:v>
      </x:c>
      <x:c r="G20" s="20"/>
      <x:c r="H20" s="20" t="str">
        <x:v>8-K</x:v>
      </x:c>
      <x:c r="I20" s="40" t="n">
        <x:v>46149</x:v>
      </x:c>
      <x:c r="J20" s="41" t="n">
        <x:v>0</x:v>
      </x:c>
      <x:c r="K20" s="20" t="str">
        <x:v>Medium</x:v>
      </x:c>
      <x:c r="L20" s="20" t="str">
        <x:v>Нет</x:v>
      </x:c>
      <x:c r="M20" s="20" t="str"/>
      <x:c r="N20" s="20" t="str">
        <x:v>https://www.sec.gov/Archives/edgar/full-index/2026/QTR2/master.idx</x:v>
      </x:c>
    </x:row>
    <x:row r="21">
      <x:c r="A21" s="20" t="str">
        <x:v>2025Q2</x:v>
      </x:c>
      <x:c r="B21" s="40" t="n">
        <x:v>45838</x:v>
      </x:c>
      <x:c r="C21" s="20" t="str">
        <x:v>MAIN</x:v>
      </x:c>
      <x:c r="D21" s="20" t="str">
        <x:v>Listed</x:v>
      </x:c>
      <x:c r="E21" s="20" t="str">
        <x:v>Main Street</x:v>
      </x:c>
      <x:c r="F21" s="40" t="n">
        <x:v>45874</x:v>
      </x:c>
      <x:c r="G21" s="20"/>
      <x:c r="H21" s="20" t="str">
        <x:v>8-K</x:v>
      </x:c>
      <x:c r="I21" s="40" t="n">
        <x:v>45877</x:v>
      </x:c>
      <x:c r="J21" s="41" t="n">
        <x:v>3</x:v>
      </x:c>
      <x:c r="K21" s="20" t="str">
        <x:v>Medium</x:v>
      </x:c>
      <x:c r="L21" s="20" t="str">
        <x:v>Нет</x:v>
      </x:c>
      <x:c r="M21" s="20" t="str">
        <x:v>8-K preceded periodic filing by 3 days</x:v>
      </x:c>
      <x:c r="N21" s="20" t="str">
        <x:v>https://www.sec.gov/Archives/edgar/full-index/2025/QTR3/master.idx</x:v>
      </x:c>
    </x:row>
    <x:row r="22">
      <x:c r="A22" s="20" t="str">
        <x:v>2025Q3</x:v>
      </x:c>
      <x:c r="B22" s="40" t="n">
        <x:v>45930</x:v>
      </x:c>
      <x:c r="C22" s="20" t="str">
        <x:v>MAIN</x:v>
      </x:c>
      <x:c r="D22" s="20" t="str">
        <x:v>Listed</x:v>
      </x:c>
      <x:c r="E22" s="20" t="str">
        <x:v>Main Street</x:v>
      </x:c>
      <x:c r="F22" s="40" t="n">
        <x:v>45965</x:v>
      </x:c>
      <x:c r="G22" s="20"/>
      <x:c r="H22" s="20" t="str">
        <x:v>8-K</x:v>
      </x:c>
      <x:c r="I22" s="40" t="n">
        <x:v>45968</x:v>
      </x:c>
      <x:c r="J22" s="41" t="n">
        <x:v>3</x:v>
      </x:c>
      <x:c r="K22" s="20" t="str">
        <x:v>Medium</x:v>
      </x:c>
      <x:c r="L22" s="20" t="str">
        <x:v>Нет</x:v>
      </x:c>
      <x:c r="M22" s="20" t="str">
        <x:v>8-K preceded periodic filing by 3 days</x:v>
      </x:c>
      <x:c r="N22" s="20" t="str">
        <x:v>https://www.sec.gov/Archives/edgar/full-index/2025/QTR4/master.idx</x:v>
      </x:c>
    </x:row>
    <x:row r="23">
      <x:c r="A23" s="20" t="str">
        <x:v>2025Q4</x:v>
      </x:c>
      <x:c r="B23" s="40" t="n">
        <x:v>46022</x:v>
      </x:c>
      <x:c r="C23" s="20" t="str">
        <x:v>MAIN</x:v>
      </x:c>
      <x:c r="D23" s="20" t="str">
        <x:v>Listed</x:v>
      </x:c>
      <x:c r="E23" s="20" t="str">
        <x:v>Main Street</x:v>
      </x:c>
      <x:c r="F23" s="40" t="n">
        <x:v>46077</x:v>
      </x:c>
      <x:c r="G23" s="20"/>
      <x:c r="H23" s="20" t="str">
        <x:v>8-K</x:v>
      </x:c>
      <x:c r="I23" s="40" t="n">
        <x:v>46080</x:v>
      </x:c>
      <x:c r="J23" s="41" t="n">
        <x:v>3</x:v>
      </x:c>
      <x:c r="K23" s="20" t="str">
        <x:v>Medium</x:v>
      </x:c>
      <x:c r="L23" s="20" t="str">
        <x:v>Нет</x:v>
      </x:c>
      <x:c r="M23" s="20" t="str">
        <x:v>8-K preceded periodic filing by 3 days</x:v>
      </x:c>
      <x:c r="N23" s="20" t="str">
        <x:v>https://www.sec.gov/Archives/edgar/full-index/2026/QTR1/master.idx</x:v>
      </x:c>
    </x:row>
    <x:row r="24">
      <x:c r="A24" s="20" t="str">
        <x:v>2026Q1</x:v>
      </x:c>
      <x:c r="B24" s="40" t="n">
        <x:v>46112</x:v>
      </x:c>
      <x:c r="C24" s="20" t="str">
        <x:v>MAIN</x:v>
      </x:c>
      <x:c r="D24" s="20" t="str">
        <x:v>Listed</x:v>
      </x:c>
      <x:c r="E24" s="20" t="str">
        <x:v>Main Street</x:v>
      </x:c>
      <x:c r="F24" s="40" t="n">
        <x:v>46147</x:v>
      </x:c>
      <x:c r="G24" s="20"/>
      <x:c r="H24" s="20" t="str">
        <x:v>8-K</x:v>
      </x:c>
      <x:c r="I24" s="40" t="n">
        <x:v>46150</x:v>
      </x:c>
      <x:c r="J24" s="41" t="n">
        <x:v>3</x:v>
      </x:c>
      <x:c r="K24" s="20" t="str">
        <x:v>Medium</x:v>
      </x:c>
      <x:c r="L24" s="20" t="str">
        <x:v>Нет</x:v>
      </x:c>
      <x:c r="M24" s="20" t="str">
        <x:v>8-K preceded periodic filing by 3 days</x:v>
      </x:c>
      <x:c r="N24" s="20" t="str">
        <x:v>https://www.sec.gov/Archives/edgar/full-index/2026/QTR2/master.idx</x:v>
      </x:c>
    </x:row>
    <x:row r="25">
      <x:c r="A25" s="20" t="str">
        <x:v>2025Q2</x:v>
      </x:c>
      <x:c r="B25" s="40" t="n">
        <x:v>45838</x:v>
      </x:c>
      <x:c r="C25" s="20" t="str">
        <x:v>GBDC</x:v>
      </x:c>
      <x:c r="D25" s="20" t="str">
        <x:v>Listed</x:v>
      </x:c>
      <x:c r="E25" s="20" t="str">
        <x:v>Golub Capital</x:v>
      </x:c>
      <x:c r="F25" s="40" t="n">
        <x:v>45873</x:v>
      </x:c>
      <x:c r="G25" s="20"/>
      <x:c r="H25" s="20" t="str">
        <x:v>8-K</x:v>
      </x:c>
      <x:c r="I25" s="40" t="n">
        <x:v>45873</x:v>
      </x:c>
      <x:c r="J25" s="41" t="n">
        <x:v>0</x:v>
      </x:c>
      <x:c r="K25" s="20" t="str">
        <x:v>Medium</x:v>
      </x:c>
      <x:c r="L25" s="20" t="str">
        <x:v>Нет</x:v>
      </x:c>
      <x:c r="M25" s="20" t="str"/>
      <x:c r="N25" s="20" t="str">
        <x:v>https://www.sec.gov/Archives/edgar/full-index/2025/QTR3/master.idx</x:v>
      </x:c>
    </x:row>
    <x:row r="26">
      <x:c r="A26" s="20" t="str">
        <x:v>2025Q3</x:v>
      </x:c>
      <x:c r="B26" s="40" t="n">
        <x:v>45930</x:v>
      </x:c>
      <x:c r="C26" s="20" t="str">
        <x:v>GBDC</x:v>
      </x:c>
      <x:c r="D26" s="20" t="str">
        <x:v>Listed</x:v>
      </x:c>
      <x:c r="E26" s="20" t="str">
        <x:v>Golub Capital</x:v>
      </x:c>
      <x:c r="F26" s="40" t="n">
        <x:v>45979</x:v>
      </x:c>
      <x:c r="G26" s="20"/>
      <x:c r="H26" s="20" t="str">
        <x:v>8-K</x:v>
      </x:c>
      <x:c r="I26" s="40" t="n">
        <x:v>45979</x:v>
      </x:c>
      <x:c r="J26" s="41" t="n">
        <x:v>0</x:v>
      </x:c>
      <x:c r="K26" s="20" t="str">
        <x:v>Medium</x:v>
      </x:c>
      <x:c r="L26" s="20" t="str">
        <x:v>Нет</x:v>
      </x:c>
      <x:c r="M26" s="20" t="str"/>
      <x:c r="N26" s="20" t="str">
        <x:v>https://www.sec.gov/Archives/edgar/full-index/2025/QTR4/master.idx</x:v>
      </x:c>
    </x:row>
    <x:row r="27">
      <x:c r="A27" s="20" t="str">
        <x:v>2025Q4</x:v>
      </x:c>
      <x:c r="B27" s="40" t="n">
        <x:v>46022</x:v>
      </x:c>
      <x:c r="C27" s="20" t="str">
        <x:v>GBDC</x:v>
      </x:c>
      <x:c r="D27" s="20" t="str">
        <x:v>Listed</x:v>
      </x:c>
      <x:c r="E27" s="20" t="str">
        <x:v>Golub Capital</x:v>
      </x:c>
      <x:c r="F27" s="40" t="n">
        <x:v>46057</x:v>
      </x:c>
      <x:c r="G27" s="20"/>
      <x:c r="H27" s="20" t="str">
        <x:v>8-K</x:v>
      </x:c>
      <x:c r="I27" s="40" t="n">
        <x:v>46057</x:v>
      </x:c>
      <x:c r="J27" s="41" t="n">
        <x:v>0</x:v>
      </x:c>
      <x:c r="K27" s="20" t="str">
        <x:v>Medium</x:v>
      </x:c>
      <x:c r="L27" s="20" t="str">
        <x:v>Нет</x:v>
      </x:c>
      <x:c r="M27" s="20" t="str"/>
      <x:c r="N27" s="20" t="str">
        <x:v>https://www.sec.gov/Archives/edgar/full-index/2026/QTR1/master.idx</x:v>
      </x:c>
    </x:row>
    <x:row r="28">
      <x:c r="A28" s="20" t="str">
        <x:v>2026Q1</x:v>
      </x:c>
      <x:c r="B28" s="40" t="n">
        <x:v>46112</x:v>
      </x:c>
      <x:c r="C28" s="20" t="str">
        <x:v>GBDC</x:v>
      </x:c>
      <x:c r="D28" s="20" t="str">
        <x:v>Listed</x:v>
      </x:c>
      <x:c r="E28" s="20" t="str">
        <x:v>Golub Capital</x:v>
      </x:c>
      <x:c r="F28" s="40" t="n">
        <x:v>46146</x:v>
      </x:c>
      <x:c r="G28" s="20"/>
      <x:c r="H28" s="20" t="str">
        <x:v>8-K</x:v>
      </x:c>
      <x:c r="I28" s="40" t="n">
        <x:v>46146</x:v>
      </x:c>
      <x:c r="J28" s="41" t="n">
        <x:v>0</x:v>
      </x:c>
      <x:c r="K28" s="20" t="str">
        <x:v>Medium</x:v>
      </x:c>
      <x:c r="L28" s="20" t="str">
        <x:v>Нет</x:v>
      </x:c>
      <x:c r="M28" s="20" t="str"/>
      <x:c r="N28" s="20" t="str">
        <x:v>https://www.sec.gov/Archives/edgar/full-index/2026/QTR2/master.idx</x:v>
      </x:c>
    </x:row>
    <x:row r="29">
      <x:c r="A29" s="20" t="str">
        <x:v>2025Q2</x:v>
      </x:c>
      <x:c r="B29" s="40" t="n">
        <x:v>45838</x:v>
      </x:c>
      <x:c r="C29" s="20" t="str">
        <x:v>TSLX</x:v>
      </x:c>
      <x:c r="D29" s="20" t="str">
        <x:v>Listed</x:v>
      </x:c>
      <x:c r="E29" s="20" t="str">
        <x:v>Sixth Street</x:v>
      </x:c>
      <x:c r="F29" s="40" t="n">
        <x:v>45868</x:v>
      </x:c>
      <x:c r="G29" s="20"/>
      <x:c r="H29" s="20" t="str">
        <x:v>8-K</x:v>
      </x:c>
      <x:c r="I29" s="40" t="n">
        <x:v>45868</x:v>
      </x:c>
      <x:c r="J29" s="41" t="n">
        <x:v>0</x:v>
      </x:c>
      <x:c r="K29" s="20" t="str">
        <x:v>Medium</x:v>
      </x:c>
      <x:c r="L29" s="20" t="str">
        <x:v>Нет</x:v>
      </x:c>
      <x:c r="M29" s="20" t="str"/>
      <x:c r="N29" s="20" t="str">
        <x:v>https://www.sec.gov/Archives/edgar/full-index/2025/QTR3/master.idx</x:v>
      </x:c>
    </x:row>
    <x:row r="30">
      <x:c r="A30" s="20" t="str">
        <x:v>2025Q3</x:v>
      </x:c>
      <x:c r="B30" s="40" t="n">
        <x:v>45930</x:v>
      </x:c>
      <x:c r="C30" s="20" t="str">
        <x:v>TSLX</x:v>
      </x:c>
      <x:c r="D30" s="20" t="str">
        <x:v>Listed</x:v>
      </x:c>
      <x:c r="E30" s="20" t="str">
        <x:v>Sixth Street</x:v>
      </x:c>
      <x:c r="F30" s="40" t="n">
        <x:v>45965</x:v>
      </x:c>
      <x:c r="G30" s="20"/>
      <x:c r="H30" s="20" t="str">
        <x:v>8-K</x:v>
      </x:c>
      <x:c r="I30" s="40" t="n">
        <x:v>45965</x:v>
      </x:c>
      <x:c r="J30" s="41" t="n">
        <x:v>0</x:v>
      </x:c>
      <x:c r="K30" s="20" t="str">
        <x:v>Medium</x:v>
      </x:c>
      <x:c r="L30" s="20" t="str">
        <x:v>Нет</x:v>
      </x:c>
      <x:c r="M30" s="20" t="str"/>
      <x:c r="N30" s="20" t="str">
        <x:v>https://www.sec.gov/Archives/edgar/full-index/2025/QTR4/master.idx</x:v>
      </x:c>
    </x:row>
    <x:row r="31">
      <x:c r="A31" s="20" t="str">
        <x:v>2025Q4</x:v>
      </x:c>
      <x:c r="B31" s="40" t="n">
        <x:v>46022</x:v>
      </x:c>
      <x:c r="C31" s="20" t="str">
        <x:v>TSLX</x:v>
      </x:c>
      <x:c r="D31" s="20" t="str">
        <x:v>Listed</x:v>
      </x:c>
      <x:c r="E31" s="20" t="str">
        <x:v>Sixth Street</x:v>
      </x:c>
      <x:c r="F31" s="40" t="n">
        <x:v>46065</x:v>
      </x:c>
      <x:c r="G31" s="20"/>
      <x:c r="H31" s="20" t="str">
        <x:v>8-K</x:v>
      </x:c>
      <x:c r="I31" s="40" t="n">
        <x:v>46065</x:v>
      </x:c>
      <x:c r="J31" s="41" t="n">
        <x:v>0</x:v>
      </x:c>
      <x:c r="K31" s="20" t="str">
        <x:v>Medium</x:v>
      </x:c>
      <x:c r="L31" s="20" t="str">
        <x:v>Нет</x:v>
      </x:c>
      <x:c r="M31" s="20" t="str"/>
      <x:c r="N31" s="20" t="str">
        <x:v>https://www.sec.gov/Archives/edgar/full-index/2026/QTR1/master.idx</x:v>
      </x:c>
    </x:row>
    <x:row r="32">
      <x:c r="A32" s="20" t="str">
        <x:v>2026Q1</x:v>
      </x:c>
      <x:c r="B32" s="40" t="n">
        <x:v>46112</x:v>
      </x:c>
      <x:c r="C32" s="20" t="str">
        <x:v>TSLX</x:v>
      </x:c>
      <x:c r="D32" s="20" t="str">
        <x:v>Listed</x:v>
      </x:c>
      <x:c r="E32" s="20" t="str">
        <x:v>Sixth Street</x:v>
      </x:c>
      <x:c r="F32" s="40" t="n">
        <x:v>46147</x:v>
      </x:c>
      <x:c r="G32" s="20"/>
      <x:c r="H32" s="20" t="str">
        <x:v>8-K</x:v>
      </x:c>
      <x:c r="I32" s="40" t="n">
        <x:v>46147</x:v>
      </x:c>
      <x:c r="J32" s="41" t="n">
        <x:v>0</x:v>
      </x:c>
      <x:c r="K32" s="20" t="str">
        <x:v>Medium</x:v>
      </x:c>
      <x:c r="L32" s="20" t="str">
        <x:v>Нет</x:v>
      </x:c>
      <x:c r="M32" s="20" t="str"/>
      <x:c r="N32" s="20" t="str">
        <x:v>https://www.sec.gov/Archives/edgar/full-index/2026/QTR2/master.idx</x:v>
      </x:c>
    </x:row>
    <x:row r="33">
      <x:c r="A33" s="20" t="str">
        <x:v>2025Q2</x:v>
      </x:c>
      <x:c r="B33" s="40" t="n">
        <x:v>45838</x:v>
      </x:c>
      <x:c r="C33" s="20" t="str">
        <x:v>HTGC</x:v>
      </x:c>
      <x:c r="D33" s="20" t="str">
        <x:v>Listed</x:v>
      </x:c>
      <x:c r="E33" s="20" t="str">
        <x:v>Hercules</x:v>
      </x:c>
      <x:c r="F33" s="40" t="n">
        <x:v>45869</x:v>
      </x:c>
      <x:c r="G33" s="20"/>
      <x:c r="H33" s="20" t="str">
        <x:v>8-K</x:v>
      </x:c>
      <x:c r="I33" s="40" t="n">
        <x:v>45869</x:v>
      </x:c>
      <x:c r="J33" s="41" t="n">
        <x:v>0</x:v>
      </x:c>
      <x:c r="K33" s="20" t="str">
        <x:v>Medium</x:v>
      </x:c>
      <x:c r="L33" s="20" t="str">
        <x:v>Нет</x:v>
      </x:c>
      <x:c r="M33" s="20" t="str"/>
      <x:c r="N33" s="20" t="str">
        <x:v>https://www.sec.gov/Archives/edgar/full-index/2025/QTR3/master.idx</x:v>
      </x:c>
    </x:row>
    <x:row r="34">
      <x:c r="A34" s="20" t="str">
        <x:v>2025Q3</x:v>
      </x:c>
      <x:c r="B34" s="40" t="n">
        <x:v>45930</x:v>
      </x:c>
      <x:c r="C34" s="20" t="str">
        <x:v>HTGC</x:v>
      </x:c>
      <x:c r="D34" s="20" t="str">
        <x:v>Listed</x:v>
      </x:c>
      <x:c r="E34" s="20" t="str">
        <x:v>Hercules</x:v>
      </x:c>
      <x:c r="F34" s="40" t="n">
        <x:v>45960</x:v>
      </x:c>
      <x:c r="G34" s="20"/>
      <x:c r="H34" s="20" t="str">
        <x:v>8-K</x:v>
      </x:c>
      <x:c r="I34" s="40" t="n">
        <x:v>45960</x:v>
      </x:c>
      <x:c r="J34" s="41" t="n">
        <x:v>0</x:v>
      </x:c>
      <x:c r="K34" s="20" t="str">
        <x:v>Medium</x:v>
      </x:c>
      <x:c r="L34" s="20" t="str">
        <x:v>Нет</x:v>
      </x:c>
      <x:c r="M34" s="20" t="str"/>
      <x:c r="N34" s="20" t="str">
        <x:v>https://www.sec.gov/Archives/edgar/full-index/2025/QTR4/master.idx</x:v>
      </x:c>
    </x:row>
    <x:row r="35">
      <x:c r="A35" s="20" t="str">
        <x:v>2025Q4</x:v>
      </x:c>
      <x:c r="B35" s="40" t="n">
        <x:v>46022</x:v>
      </x:c>
      <x:c r="C35" s="20" t="str">
        <x:v>HTGC</x:v>
      </x:c>
      <x:c r="D35" s="20" t="str">
        <x:v>Listed</x:v>
      </x:c>
      <x:c r="E35" s="20" t="str">
        <x:v>Hercules</x:v>
      </x:c>
      <x:c r="F35" s="40" t="n">
        <x:v>46063</x:v>
      </x:c>
      <x:c r="G35" s="20"/>
      <x:c r="H35" s="20" t="str">
        <x:v>8-K</x:v>
      </x:c>
      <x:c r="I35" s="40" t="n">
        <x:v>46065</x:v>
      </x:c>
      <x:c r="J35" s="41" t="n">
        <x:v>2</x:v>
      </x:c>
      <x:c r="K35" s="20" t="str">
        <x:v>Medium</x:v>
      </x:c>
      <x:c r="L35" s="20" t="str">
        <x:v>Нет</x:v>
      </x:c>
      <x:c r="M35" s="20" t="str">
        <x:v>8-K preceded periodic filing by 2 days</x:v>
      </x:c>
      <x:c r="N35" s="20" t="str">
        <x:v>https://www.sec.gov/Archives/edgar/full-index/2026/QTR1/master.idx</x:v>
      </x:c>
    </x:row>
    <x:row r="36">
      <x:c r="A36" s="20" t="str">
        <x:v>2026Q1</x:v>
      </x:c>
      <x:c r="B36" s="40" t="n">
        <x:v>46112</x:v>
      </x:c>
      <x:c r="C36" s="20" t="str">
        <x:v>HTGC</x:v>
      </x:c>
      <x:c r="D36" s="20" t="str">
        <x:v>Listed</x:v>
      </x:c>
      <x:c r="E36" s="20" t="str">
        <x:v>Hercules</x:v>
      </x:c>
      <x:c r="F36" s="40" t="n">
        <x:v>46146</x:v>
      </x:c>
      <x:c r="G36" s="20"/>
      <x:c r="H36" s="20" t="str">
        <x:v>8-K</x:v>
      </x:c>
      <x:c r="I36" s="40" t="n">
        <x:v>46147</x:v>
      </x:c>
      <x:c r="J36" s="41" t="n">
        <x:v>1</x:v>
      </x:c>
      <x:c r="K36" s="20" t="str">
        <x:v>Medium</x:v>
      </x:c>
      <x:c r="L36" s="20" t="str">
        <x:v>Нет</x:v>
      </x:c>
      <x:c r="M36" s="20" t="str">
        <x:v>8-K preceded periodic filing by 1 day</x:v>
      </x:c>
      <x:c r="N36" s="20" t="str">
        <x:v>https://www.sec.gov/Archives/edgar/full-index/2026/QTR2/master.idx</x:v>
      </x:c>
    </x:row>
    <x:row r="37">
      <x:c r="A37" s="20" t="str">
        <x:v>2025Q2</x:v>
      </x:c>
      <x:c r="B37" s="40" t="n">
        <x:v>45838</x:v>
      </x:c>
      <x:c r="C37" s="20" t="str">
        <x:v>CSWC</x:v>
      </x:c>
      <x:c r="D37" s="20" t="str">
        <x:v>Listed</x:v>
      </x:c>
      <x:c r="E37" s="20" t="str">
        <x:v>Capital Southwest</x:v>
      </x:c>
      <x:c r="F37" s="40" t="n">
        <x:v>45875</x:v>
      </x:c>
      <x:c r="G37" s="20"/>
      <x:c r="H37" s="20" t="str">
        <x:v>8-K</x:v>
      </x:c>
      <x:c r="I37" s="40" t="n">
        <x:v>45876</x:v>
      </x:c>
      <x:c r="J37" s="41" t="n">
        <x:v>1</x:v>
      </x:c>
      <x:c r="K37" s="20" t="str">
        <x:v>Medium</x:v>
      </x:c>
      <x:c r="L37" s="20" t="str">
        <x:v>Нет</x:v>
      </x:c>
      <x:c r="M37" s="20" t="str"/>
      <x:c r="N37" s="20" t="str">
        <x:v>https://www.sec.gov/Archives/edgar/full-index/2025/QTR3/master.idx</x:v>
      </x:c>
    </x:row>
    <x:row r="38">
      <x:c r="A38" s="20" t="str">
        <x:v>2025Q3</x:v>
      </x:c>
      <x:c r="B38" s="40" t="n">
        <x:v>45930</x:v>
      </x:c>
      <x:c r="C38" s="20" t="str">
        <x:v>CSWC</x:v>
      </x:c>
      <x:c r="D38" s="20" t="str">
        <x:v>Listed</x:v>
      </x:c>
      <x:c r="E38" s="20" t="str">
        <x:v>Capital Southwest</x:v>
      </x:c>
      <x:c r="F38" s="40" t="n">
        <x:v>45964</x:v>
      </x:c>
      <x:c r="G38" s="20"/>
      <x:c r="H38" s="20" t="str">
        <x:v>8-K</x:v>
      </x:c>
      <x:c r="I38" s="40" t="n">
        <x:v>45964</x:v>
      </x:c>
      <x:c r="J38" s="41" t="n">
        <x:v>0</x:v>
      </x:c>
      <x:c r="K38" s="20" t="str">
        <x:v>Medium</x:v>
      </x:c>
      <x:c r="L38" s="20" t="str">
        <x:v>Нет</x:v>
      </x:c>
      <x:c r="M38" s="20" t="str"/>
      <x:c r="N38" s="20" t="str">
        <x:v>https://www.sec.gov/Archives/edgar/full-index/2025/QTR4/master.idx</x:v>
      </x:c>
    </x:row>
    <x:row r="39">
      <x:c r="A39" s="20" t="str">
        <x:v>2025Q4</x:v>
      </x:c>
      <x:c r="B39" s="40" t="n">
        <x:v>46022</x:v>
      </x:c>
      <x:c r="C39" s="20" t="str">
        <x:v>CSWC</x:v>
      </x:c>
      <x:c r="D39" s="20" t="str">
        <x:v>Listed</x:v>
      </x:c>
      <x:c r="E39" s="20" t="str">
        <x:v>Capital Southwest</x:v>
      </x:c>
      <x:c r="F39" s="40" t="n">
        <x:v>46052</x:v>
      </x:c>
      <x:c r="G39" s="20"/>
      <x:c r="H39" s="20" t="str">
        <x:v>8-K</x:v>
      </x:c>
      <x:c r="I39" s="40" t="n">
        <x:v>46055</x:v>
      </x:c>
      <x:c r="J39" s="41" t="n">
        <x:v>3</x:v>
      </x:c>
      <x:c r="K39" s="20" t="str">
        <x:v>Medium</x:v>
      </x:c>
      <x:c r="L39" s="20" t="str">
        <x:v>Нет</x:v>
      </x:c>
      <x:c r="M39" s="20" t="str">
        <x:v>8-K preceded periodic filing by 3 days</x:v>
      </x:c>
      <x:c r="N39" s="20" t="str">
        <x:v>https://www.sec.gov/Archives/edgar/full-index/2026/QTR1/master.idx</x:v>
      </x:c>
    </x:row>
    <x:row r="40">
      <x:c r="A40" s="20" t="str">
        <x:v>2026Q1</x:v>
      </x:c>
      <x:c r="B40" s="40" t="n">
        <x:v>46112</x:v>
      </x:c>
      <x:c r="C40" s="20" t="str">
        <x:v>CSWC</x:v>
      </x:c>
      <x:c r="D40" s="20" t="str">
        <x:v>Listed</x:v>
      </x:c>
      <x:c r="E40" s="20" t="str">
        <x:v>Capital Southwest</x:v>
      </x:c>
      <x:c r="F40" s="40" t="n">
        <x:v>46161</x:v>
      </x:c>
      <x:c r="G40" s="20"/>
      <x:c r="H40" s="20" t="str">
        <x:v>8-K</x:v>
      </x:c>
      <x:c r="I40" s="40" t="n">
        <x:v>46161</x:v>
      </x:c>
      <x:c r="J40" s="41" t="n">
        <x:v>0</x:v>
      </x:c>
      <x:c r="K40" s="20" t="str">
        <x:v>Medium</x:v>
      </x:c>
      <x:c r="L40" s="20" t="str">
        <x:v>Нет</x:v>
      </x:c>
      <x:c r="M40" s="20" t="str"/>
      <x:c r="N40" s="20" t="str">
        <x:v>https://www.sec.gov/Archives/edgar/full-index/2026/QTR2/master.idx</x:v>
      </x:c>
    </x:row>
    <x:row r="41">
      <x:c r="A41" s="20" t="str">
        <x:v>2025Q2</x:v>
      </x:c>
      <x:c r="B41" s="40" t="n">
        <x:v>45838</x:v>
      </x:c>
      <x:c r="C41" s="20" t="str">
        <x:v>CGBD</x:v>
      </x:c>
      <x:c r="D41" s="20" t="str">
        <x:v>Listed</x:v>
      </x:c>
      <x:c r="E41" s="20" t="str">
        <x:v>Carlyle</x:v>
      </x:c>
      <x:c r="F41" s="40" t="n">
        <x:v>45874</x:v>
      </x:c>
      <x:c r="G41" s="20"/>
      <x:c r="H41" s="20" t="str">
        <x:v>8-K</x:v>
      </x:c>
      <x:c r="I41" s="40" t="n">
        <x:v>45874</x:v>
      </x:c>
      <x:c r="J41" s="41" t="n">
        <x:v>0</x:v>
      </x:c>
      <x:c r="K41" s="20" t="str">
        <x:v>Medium</x:v>
      </x:c>
      <x:c r="L41" s="20" t="str">
        <x:v>Нет</x:v>
      </x:c>
      <x:c r="M41" s="20" t="str"/>
      <x:c r="N41" s="20" t="str">
        <x:v>https://www.sec.gov/Archives/edgar/full-index/2025/QTR3/master.idx</x:v>
      </x:c>
    </x:row>
    <x:row r="42">
      <x:c r="A42" s="20" t="str">
        <x:v>2025Q3</x:v>
      </x:c>
      <x:c r="B42" s="40" t="n">
        <x:v>45930</x:v>
      </x:c>
      <x:c r="C42" s="20" t="str">
        <x:v>CGBD</x:v>
      </x:c>
      <x:c r="D42" s="20" t="str">
        <x:v>Listed</x:v>
      </x:c>
      <x:c r="E42" s="20" t="str">
        <x:v>Carlyle</x:v>
      </x:c>
      <x:c r="F42" s="40" t="n">
        <x:v>45965</x:v>
      </x:c>
      <x:c r="G42" s="20"/>
      <x:c r="H42" s="20" t="str">
        <x:v>8-K</x:v>
      </x:c>
      <x:c r="I42" s="40" t="n">
        <x:v>45965</x:v>
      </x:c>
      <x:c r="J42" s="41" t="n">
        <x:v>0</x:v>
      </x:c>
      <x:c r="K42" s="20" t="str">
        <x:v>Medium</x:v>
      </x:c>
      <x:c r="L42" s="20" t="str">
        <x:v>Нет</x:v>
      </x:c>
      <x:c r="M42" s="20" t="str"/>
      <x:c r="N42" s="20" t="str">
        <x:v>https://www.sec.gov/Archives/edgar/full-index/2025/QTR4/master.idx</x:v>
      </x:c>
    </x:row>
    <x:row r="43">
      <x:c r="A43" s="20" t="str">
        <x:v>2025Q4</x:v>
      </x:c>
      <x:c r="B43" s="40" t="n">
        <x:v>46022</x:v>
      </x:c>
      <x:c r="C43" s="20" t="str">
        <x:v>CGBD</x:v>
      </x:c>
      <x:c r="D43" s="20" t="str">
        <x:v>Listed</x:v>
      </x:c>
      <x:c r="E43" s="20" t="str">
        <x:v>Carlyle</x:v>
      </x:c>
      <x:c r="F43" s="40" t="n">
        <x:v>46076</x:v>
      </x:c>
      <x:c r="G43" s="20"/>
      <x:c r="H43" s="20" t="str">
        <x:v>8-K</x:v>
      </x:c>
      <x:c r="I43" s="40" t="n">
        <x:v>46077</x:v>
      </x:c>
      <x:c r="J43" s="41" t="n">
        <x:v>1</x:v>
      </x:c>
      <x:c r="K43" s="20" t="str">
        <x:v>Medium</x:v>
      </x:c>
      <x:c r="L43" s="20" t="str">
        <x:v>Нет</x:v>
      </x:c>
      <x:c r="M43" s="20" t="str"/>
      <x:c r="N43" s="20" t="str">
        <x:v>https://www.sec.gov/Archives/edgar/full-index/2026/QTR1/master.idx</x:v>
      </x:c>
    </x:row>
    <x:row r="44">
      <x:c r="A44" s="20" t="str">
        <x:v>2026Q1</x:v>
      </x:c>
      <x:c r="B44" s="40" t="n">
        <x:v>46112</x:v>
      </x:c>
      <x:c r="C44" s="20" t="str">
        <x:v>CGBD</x:v>
      </x:c>
      <x:c r="D44" s="20" t="str">
        <x:v>Listed</x:v>
      </x:c>
      <x:c r="E44" s="20" t="str">
        <x:v>Carlyle</x:v>
      </x:c>
      <x:c r="F44" s="40" t="n">
        <x:v>46153</x:v>
      </x:c>
      <x:c r="G44" s="20"/>
      <x:c r="H44" s="20" t="str">
        <x:v>8-K</x:v>
      </x:c>
      <x:c r="I44" s="40" t="n">
        <x:v>46153</x:v>
      </x:c>
      <x:c r="J44" s="41" t="n">
        <x:v>0</x:v>
      </x:c>
      <x:c r="K44" s="20" t="str">
        <x:v>Medium</x:v>
      </x:c>
      <x:c r="L44" s="20" t="str">
        <x:v>Нет</x:v>
      </x:c>
      <x:c r="M44" s="20" t="str"/>
      <x:c r="N44" s="20" t="str">
        <x:v>https://www.sec.gov/Archives/edgar/full-index/2026/QTR2/master.idx</x:v>
      </x:c>
    </x:row>
    <x:row r="45">
      <x:c r="A45" s="20" t="str">
        <x:v>2025Q2</x:v>
      </x:c>
      <x:c r="B45" s="40" t="n">
        <x:v>45838</x:v>
      </x:c>
      <x:c r="C45" s="20" t="str">
        <x:v>MFIC</x:v>
      </x:c>
      <x:c r="D45" s="20" t="str">
        <x:v>Listed</x:v>
      </x:c>
      <x:c r="E45" s="20" t="str">
        <x:v>MidCap / Apollo</x:v>
      </x:c>
      <x:c r="F45" s="40" t="n">
        <x:v>45880</x:v>
      </x:c>
      <x:c r="G45" s="20"/>
      <x:c r="H45" s="20" t="str">
        <x:v>8-K</x:v>
      </x:c>
      <x:c r="I45" s="40" t="n">
        <x:v>45880</x:v>
      </x:c>
      <x:c r="J45" s="41" t="n">
        <x:v>0</x:v>
      </x:c>
      <x:c r="K45" s="20" t="str">
        <x:v>Medium</x:v>
      </x:c>
      <x:c r="L45" s="20" t="str">
        <x:v>Нет</x:v>
      </x:c>
      <x:c r="M45" s="20" t="str"/>
      <x:c r="N45" s="20" t="str">
        <x:v>https://www.sec.gov/Archives/edgar/full-index/2025/QTR3/master.idx</x:v>
      </x:c>
    </x:row>
    <x:row r="46">
      <x:c r="A46" s="20" t="str">
        <x:v>2025Q3</x:v>
      </x:c>
      <x:c r="B46" s="40" t="n">
        <x:v>45930</x:v>
      </x:c>
      <x:c r="C46" s="20" t="str">
        <x:v>MFIC</x:v>
      </x:c>
      <x:c r="D46" s="20" t="str">
        <x:v>Listed</x:v>
      </x:c>
      <x:c r="E46" s="20" t="str">
        <x:v>MidCap / Apollo</x:v>
      </x:c>
      <x:c r="F46" s="40" t="n">
        <x:v>45967</x:v>
      </x:c>
      <x:c r="G46" s="20"/>
      <x:c r="H46" s="20" t="str">
        <x:v>8-K</x:v>
      </x:c>
      <x:c r="I46" s="40" t="n">
        <x:v>45967</x:v>
      </x:c>
      <x:c r="J46" s="41" t="n">
        <x:v>0</x:v>
      </x:c>
      <x:c r="K46" s="20" t="str">
        <x:v>Medium</x:v>
      </x:c>
      <x:c r="L46" s="20" t="str">
        <x:v>Нет</x:v>
      </x:c>
      <x:c r="M46" s="20" t="str"/>
      <x:c r="N46" s="20" t="str">
        <x:v>https://www.sec.gov/Archives/edgar/full-index/2025/QTR4/master.idx</x:v>
      </x:c>
    </x:row>
    <x:row r="47">
      <x:c r="A47" s="20" t="str">
        <x:v>2025Q4</x:v>
      </x:c>
      <x:c r="B47" s="40" t="n">
        <x:v>46022</x:v>
      </x:c>
      <x:c r="C47" s="20" t="str">
        <x:v>MFIC</x:v>
      </x:c>
      <x:c r="D47" s="20" t="str">
        <x:v>Listed</x:v>
      </x:c>
      <x:c r="E47" s="20" t="str">
        <x:v>MidCap / Apollo</x:v>
      </x:c>
      <x:c r="F47" s="40" t="n">
        <x:v>46079</x:v>
      </x:c>
      <x:c r="G47" s="20"/>
      <x:c r="H47" s="20" t="str">
        <x:v>8-K</x:v>
      </x:c>
      <x:c r="I47" s="40" t="n">
        <x:v>46079</x:v>
      </x:c>
      <x:c r="J47" s="41" t="n">
        <x:v>0</x:v>
      </x:c>
      <x:c r="K47" s="20" t="str">
        <x:v>Medium</x:v>
      </x:c>
      <x:c r="L47" s="20" t="str">
        <x:v>Нет</x:v>
      </x:c>
      <x:c r="M47" s="20" t="str"/>
      <x:c r="N47" s="20" t="str">
        <x:v>https://www.sec.gov/Archives/edgar/full-index/2026/QTR1/master.idx</x:v>
      </x:c>
    </x:row>
    <x:row r="48">
      <x:c r="A48" s="20" t="str">
        <x:v>2026Q1</x:v>
      </x:c>
      <x:c r="B48" s="40" t="n">
        <x:v>46112</x:v>
      </x:c>
      <x:c r="C48" s="20" t="str">
        <x:v>MFIC</x:v>
      </x:c>
      <x:c r="D48" s="20" t="str">
        <x:v>Listed</x:v>
      </x:c>
      <x:c r="E48" s="20" t="str">
        <x:v>MidCap / Apollo</x:v>
      </x:c>
      <x:c r="F48" s="40" t="n">
        <x:v>46148</x:v>
      </x:c>
      <x:c r="G48" s="20"/>
      <x:c r="H48" s="20" t="str">
        <x:v>8-K</x:v>
      </x:c>
      <x:c r="I48" s="40" t="n">
        <x:v>46148</x:v>
      </x:c>
      <x:c r="J48" s="41" t="n">
        <x:v>0</x:v>
      </x:c>
      <x:c r="K48" s="20" t="str">
        <x:v>Medium</x:v>
      </x:c>
      <x:c r="L48" s="20" t="str">
        <x:v>Нет</x:v>
      </x:c>
      <x:c r="M48" s="20" t="str"/>
      <x:c r="N48" s="20" t="str">
        <x:v>https://www.sec.gov/Archives/edgar/full-index/2026/QTR2/master.idx</x:v>
      </x:c>
    </x:row>
    <x:row r="49">
      <x:c r="A49" s="20" t="str">
        <x:v>2025Q2</x:v>
      </x:c>
      <x:c r="B49" s="40" t="n">
        <x:v>45838</x:v>
      </x:c>
      <x:c r="C49" s="20" t="str">
        <x:v>NMFC</x:v>
      </x:c>
      <x:c r="D49" s="20" t="str">
        <x:v>Listed</x:v>
      </x:c>
      <x:c r="E49" s="20" t="str">
        <x:v>New Mountain</x:v>
      </x:c>
      <x:c r="F49" s="40" t="n">
        <x:v>45873</x:v>
      </x:c>
      <x:c r="G49" s="20"/>
      <x:c r="H49" s="20" t="str">
        <x:v>8-K</x:v>
      </x:c>
      <x:c r="I49" s="40" t="n">
        <x:v>45873</x:v>
      </x:c>
      <x:c r="J49" s="41" t="n">
        <x:v>0</x:v>
      </x:c>
      <x:c r="K49" s="20" t="str">
        <x:v>Medium</x:v>
      </x:c>
      <x:c r="L49" s="20" t="str">
        <x:v>Нет</x:v>
      </x:c>
      <x:c r="M49" s="20" t="str"/>
      <x:c r="N49" s="20" t="str">
        <x:v>https://www.sec.gov/Archives/edgar/full-index/2025/QTR3/master.idx</x:v>
      </x:c>
    </x:row>
    <x:row r="50">
      <x:c r="A50" s="20" t="str">
        <x:v>2025Q3</x:v>
      </x:c>
      <x:c r="B50" s="40" t="n">
        <x:v>45930</x:v>
      </x:c>
      <x:c r="C50" s="20" t="str">
        <x:v>NMFC</x:v>
      </x:c>
      <x:c r="D50" s="20" t="str">
        <x:v>Listed</x:v>
      </x:c>
      <x:c r="E50" s="20" t="str">
        <x:v>New Mountain</x:v>
      </x:c>
      <x:c r="F50" s="40" t="n">
        <x:v>45964</x:v>
      </x:c>
      <x:c r="G50" s="20"/>
      <x:c r="H50" s="20" t="str">
        <x:v>8-K</x:v>
      </x:c>
      <x:c r="I50" s="40" t="n">
        <x:v>45964</x:v>
      </x:c>
      <x:c r="J50" s="41" t="n">
        <x:v>0</x:v>
      </x:c>
      <x:c r="K50" s="20" t="str">
        <x:v>Medium</x:v>
      </x:c>
      <x:c r="L50" s="20" t="str">
        <x:v>Нет</x:v>
      </x:c>
      <x:c r="M50" s="20" t="str"/>
      <x:c r="N50" s="20" t="str">
        <x:v>https://www.sec.gov/Archives/edgar/full-index/2025/QTR4/master.idx</x:v>
      </x:c>
    </x:row>
    <x:row r="51">
      <x:c r="A51" s="20" t="str">
        <x:v>2025Q4</x:v>
      </x:c>
      <x:c r="B51" s="40" t="n">
        <x:v>46022</x:v>
      </x:c>
      <x:c r="C51" s="20" t="str">
        <x:v>NMFC</x:v>
      </x:c>
      <x:c r="D51" s="20" t="str">
        <x:v>Listed</x:v>
      </x:c>
      <x:c r="E51" s="20" t="str">
        <x:v>New Mountain</x:v>
      </x:c>
      <x:c r="F51" s="40" t="n">
        <x:v>46077</x:v>
      </x:c>
      <x:c r="G51" s="20"/>
      <x:c r="H51" s="20" t="str">
        <x:v>8-K</x:v>
      </x:c>
      <x:c r="I51" s="40" t="n">
        <x:v>46077</x:v>
      </x:c>
      <x:c r="J51" s="41" t="n">
        <x:v>0</x:v>
      </x:c>
      <x:c r="K51" s="20" t="str">
        <x:v>Medium</x:v>
      </x:c>
      <x:c r="L51" s="20" t="str">
        <x:v>Нет</x:v>
      </x:c>
      <x:c r="M51" s="20" t="str"/>
      <x:c r="N51" s="20" t="str">
        <x:v>https://www.sec.gov/Archives/edgar/full-index/2026/QTR1/master.idx</x:v>
      </x:c>
    </x:row>
    <x:row r="52">
      <x:c r="A52" s="20" t="str">
        <x:v>2026Q1</x:v>
      </x:c>
      <x:c r="B52" s="40" t="n">
        <x:v>46112</x:v>
      </x:c>
      <x:c r="C52" s="20" t="str">
        <x:v>NMFC</x:v>
      </x:c>
      <x:c r="D52" s="20" t="str">
        <x:v>Listed</x:v>
      </x:c>
      <x:c r="E52" s="20" t="str">
        <x:v>New Mountain</x:v>
      </x:c>
      <x:c r="F52" s="40" t="n">
        <x:v>46146</x:v>
      </x:c>
      <x:c r="G52" s="20"/>
      <x:c r="H52" s="20" t="str">
        <x:v>8-K</x:v>
      </x:c>
      <x:c r="I52" s="40" t="n">
        <x:v>46146</x:v>
      </x:c>
      <x:c r="J52" s="41" t="n">
        <x:v>0</x:v>
      </x:c>
      <x:c r="K52" s="20" t="str">
        <x:v>Medium</x:v>
      </x:c>
      <x:c r="L52" s="20" t="str">
        <x:v>Нет</x:v>
      </x:c>
      <x:c r="M52" s="20" t="str"/>
      <x:c r="N52" s="20" t="str">
        <x:v>https://www.sec.gov/Archives/edgar/full-index/2026/QTR2/master.idx</x:v>
      </x:c>
    </x:row>
    <x:row r="53">
      <x:c r="A53" s="20" t="str">
        <x:v>2025Q2</x:v>
      </x:c>
      <x:c r="B53" s="40" t="n">
        <x:v>45838</x:v>
      </x:c>
      <x:c r="C53" s="20" t="str">
        <x:v>OCSL</x:v>
      </x:c>
      <x:c r="D53" s="20" t="str">
        <x:v>Listed</x:v>
      </x:c>
      <x:c r="E53" s="20" t="str">
        <x:v>Oaktree</x:v>
      </x:c>
      <x:c r="F53" s="40" t="n">
        <x:v>45874</x:v>
      </x:c>
      <x:c r="G53" s="20"/>
      <x:c r="H53" s="20" t="str">
        <x:v>8-K</x:v>
      </x:c>
      <x:c r="I53" s="40" t="n">
        <x:v>45874</x:v>
      </x:c>
      <x:c r="J53" s="41" t="n">
        <x:v>0</x:v>
      </x:c>
      <x:c r="K53" s="20" t="str">
        <x:v>Medium</x:v>
      </x:c>
      <x:c r="L53" s="20" t="str">
        <x:v>Нет</x:v>
      </x:c>
      <x:c r="M53" s="20" t="str"/>
      <x:c r="N53" s="20" t="str">
        <x:v>https://www.sec.gov/Archives/edgar/full-index/2025/QTR3/master.idx</x:v>
      </x:c>
    </x:row>
    <x:row r="54">
      <x:c r="A54" s="20" t="str">
        <x:v>2025Q3</x:v>
      </x:c>
      <x:c r="B54" s="40" t="n">
        <x:v>45930</x:v>
      </x:c>
      <x:c r="C54" s="20" t="str">
        <x:v>OCSL</x:v>
      </x:c>
      <x:c r="D54" s="20" t="str">
        <x:v>Listed</x:v>
      </x:c>
      <x:c r="E54" s="20" t="str">
        <x:v>Oaktree</x:v>
      </x:c>
      <x:c r="F54" s="40" t="n">
        <x:v>45979</x:v>
      </x:c>
      <x:c r="G54" s="20"/>
      <x:c r="H54" s="20" t="str">
        <x:v>8-K</x:v>
      </x:c>
      <x:c r="I54" s="40" t="n">
        <x:v>45979</x:v>
      </x:c>
      <x:c r="J54" s="41" t="n">
        <x:v>0</x:v>
      </x:c>
      <x:c r="K54" s="20" t="str">
        <x:v>Medium</x:v>
      </x:c>
      <x:c r="L54" s="20" t="str">
        <x:v>Нет</x:v>
      </x:c>
      <x:c r="M54" s="20" t="str"/>
      <x:c r="N54" s="20" t="str">
        <x:v>https://www.sec.gov/Archives/edgar/full-index/2025/QTR4/master.idx</x:v>
      </x:c>
    </x:row>
    <x:row r="55">
      <x:c r="A55" s="20" t="str">
        <x:v>2025Q4</x:v>
      </x:c>
      <x:c r="B55" s="40" t="n">
        <x:v>46022</x:v>
      </x:c>
      <x:c r="C55" s="20" t="str">
        <x:v>OCSL</x:v>
      </x:c>
      <x:c r="D55" s="20" t="str">
        <x:v>Listed</x:v>
      </x:c>
      <x:c r="E55" s="20" t="str">
        <x:v>Oaktree</x:v>
      </x:c>
      <x:c r="F55" s="40" t="n">
        <x:v>46057</x:v>
      </x:c>
      <x:c r="G55" s="20"/>
      <x:c r="H55" s="20" t="str">
        <x:v>8-K</x:v>
      </x:c>
      <x:c r="I55" s="40" t="n">
        <x:v>46057</x:v>
      </x:c>
      <x:c r="J55" s="41" t="n">
        <x:v>0</x:v>
      </x:c>
      <x:c r="K55" s="20" t="str">
        <x:v>Medium</x:v>
      </x:c>
      <x:c r="L55" s="20" t="str">
        <x:v>Нет</x:v>
      </x:c>
      <x:c r="M55" s="20" t="str"/>
      <x:c r="N55" s="20" t="str">
        <x:v>https://www.sec.gov/Archives/edgar/full-index/2026/QTR1/master.idx</x:v>
      </x:c>
    </x:row>
    <x:row r="56">
      <x:c r="A56" s="20" t="str">
        <x:v>2026Q1</x:v>
      </x:c>
      <x:c r="B56" s="40" t="n">
        <x:v>46112</x:v>
      </x:c>
      <x:c r="C56" s="20" t="str">
        <x:v>OCSL</x:v>
      </x:c>
      <x:c r="D56" s="20" t="str">
        <x:v>Listed</x:v>
      </x:c>
      <x:c r="E56" s="20" t="str">
        <x:v>Oaktree</x:v>
      </x:c>
      <x:c r="F56" s="40" t="n">
        <x:v>46147</x:v>
      </x:c>
      <x:c r="G56" s="20"/>
      <x:c r="H56" s="20" t="str">
        <x:v>8-K</x:v>
      </x:c>
      <x:c r="I56" s="40" t="n">
        <x:v>46147</x:v>
      </x:c>
      <x:c r="J56" s="41" t="n">
        <x:v>0</x:v>
      </x:c>
      <x:c r="K56" s="20" t="str">
        <x:v>Medium</x:v>
      </x:c>
      <x:c r="L56" s="20" t="str">
        <x:v>Нет</x:v>
      </x:c>
      <x:c r="M56" s="20" t="str"/>
      <x:c r="N56" s="20" t="str">
        <x:v>https://www.sec.gov/Archives/edgar/full-index/2026/QTR2/master.idx</x:v>
      </x:c>
    </x:row>
    <x:row r="57">
      <x:c r="A57" s="20" t="str">
        <x:v>2025Q2</x:v>
      </x:c>
      <x:c r="B57" s="40" t="n">
        <x:v>45838</x:v>
      </x:c>
      <x:c r="C57" s="20" t="str">
        <x:v>BCSF</x:v>
      </x:c>
      <x:c r="D57" s="20" t="str">
        <x:v>Listed</x:v>
      </x:c>
      <x:c r="E57" s="20" t="str">
        <x:v>Bain Capital</x:v>
      </x:c>
      <x:c r="F57" s="40" t="n">
        <x:v>45874</x:v>
      </x:c>
      <x:c r="G57" s="20"/>
      <x:c r="H57" s="20" t="str">
        <x:v>8-K</x:v>
      </x:c>
      <x:c r="I57" s="40" t="n">
        <x:v>45874</x:v>
      </x:c>
      <x:c r="J57" s="41" t="n">
        <x:v>0</x:v>
      </x:c>
      <x:c r="K57" s="20" t="str">
        <x:v>Medium</x:v>
      </x:c>
      <x:c r="L57" s="20" t="str">
        <x:v>Нет</x:v>
      </x:c>
      <x:c r="M57" s="20" t="str"/>
      <x:c r="N57" s="20" t="str">
        <x:v>https://www.sec.gov/Archives/edgar/full-index/2025/QTR3/master.idx</x:v>
      </x:c>
    </x:row>
    <x:row r="58">
      <x:c r="A58" s="20" t="str">
        <x:v>2025Q3</x:v>
      </x:c>
      <x:c r="B58" s="40" t="n">
        <x:v>45930</x:v>
      </x:c>
      <x:c r="C58" s="20" t="str">
        <x:v>BCSF</x:v>
      </x:c>
      <x:c r="D58" s="20" t="str">
        <x:v>Listed</x:v>
      </x:c>
      <x:c r="E58" s="20" t="str">
        <x:v>Bain Capital</x:v>
      </x:c>
      <x:c r="F58" s="40" t="n">
        <x:v>45971</x:v>
      </x:c>
      <x:c r="G58" s="20"/>
      <x:c r="H58" s="20" t="str">
        <x:v>8-K</x:v>
      </x:c>
      <x:c r="I58" s="40" t="n">
        <x:v>45971</x:v>
      </x:c>
      <x:c r="J58" s="41" t="n">
        <x:v>0</x:v>
      </x:c>
      <x:c r="K58" s="20" t="str">
        <x:v>Medium</x:v>
      </x:c>
      <x:c r="L58" s="20" t="str">
        <x:v>Нет</x:v>
      </x:c>
      <x:c r="M58" s="20" t="str"/>
      <x:c r="N58" s="20" t="str">
        <x:v>https://www.sec.gov/Archives/edgar/full-index/2025/QTR4/master.idx</x:v>
      </x:c>
    </x:row>
    <x:row r="59">
      <x:c r="A59" s="20" t="str">
        <x:v>2025Q4</x:v>
      </x:c>
      <x:c r="B59" s="40" t="n">
        <x:v>46022</x:v>
      </x:c>
      <x:c r="C59" s="20" t="str">
        <x:v>BCSF</x:v>
      </x:c>
      <x:c r="D59" s="20" t="str">
        <x:v>Listed</x:v>
      </x:c>
      <x:c r="E59" s="20" t="str">
        <x:v>Bain Capital</x:v>
      </x:c>
      <x:c r="F59" s="40" t="n">
        <x:v>46080</x:v>
      </x:c>
      <x:c r="G59" s="20"/>
      <x:c r="H59" s="20" t="str">
        <x:v>8-K</x:v>
      </x:c>
      <x:c r="I59" s="40" t="n">
        <x:v>46080</x:v>
      </x:c>
      <x:c r="J59" s="41" t="n">
        <x:v>0</x:v>
      </x:c>
      <x:c r="K59" s="20" t="str">
        <x:v>Medium</x:v>
      </x:c>
      <x:c r="L59" s="20" t="str">
        <x:v>Нет</x:v>
      </x:c>
      <x:c r="M59" s="20" t="str"/>
      <x:c r="N59" s="20" t="str">
        <x:v>https://www.sec.gov/Archives/edgar/full-index/2026/QTR1/master.idx</x:v>
      </x:c>
    </x:row>
    <x:row r="60">
      <x:c r="A60" s="20" t="str">
        <x:v>2026Q1</x:v>
      </x:c>
      <x:c r="B60" s="40" t="n">
        <x:v>46112</x:v>
      </x:c>
      <x:c r="C60" s="20" t="str">
        <x:v>BCSF</x:v>
      </x:c>
      <x:c r="D60" s="20" t="str">
        <x:v>Listed</x:v>
      </x:c>
      <x:c r="E60" s="20" t="str">
        <x:v>Bain Capital</x:v>
      </x:c>
      <x:c r="F60" s="40" t="n">
        <x:v>46153</x:v>
      </x:c>
      <x:c r="G60" s="20"/>
      <x:c r="H60" s="20" t="str">
        <x:v>10-Q</x:v>
      </x:c>
      <x:c r="I60" s="40" t="n">
        <x:v>46153</x:v>
      </x:c>
      <x:c r="J60" s="41" t="n">
        <x:v>0</x:v>
      </x:c>
      <x:c r="K60" s="20" t="str">
        <x:v>High</x:v>
      </x:c>
      <x:c r="L60" s="20" t="str">
        <x:v>Частично</x:v>
      </x:c>
      <x:c r="M60" s="20" t="str">
        <x:v>Periodic filing used directly</x:v>
      </x:c>
      <x:c r="N60" s="20" t="str">
        <x:v>https://www.sec.gov/Archives/edgar/full-index/2026/QTR2/master.idx</x:v>
      </x:c>
    </x:row>
    <x:row r="61">
      <x:c r="A61" s="20" t="str">
        <x:v>2025Q2</x:v>
      </x:c>
      <x:c r="B61" s="40" t="n">
        <x:v>45838</x:v>
      </x:c>
      <x:c r="C61" s="20" t="str">
        <x:v>CION</x:v>
      </x:c>
      <x:c r="D61" s="20" t="str">
        <x:v>Listed</x:v>
      </x:c>
      <x:c r="E61" s="20" t="str">
        <x:v>CION Investment Management</x:v>
      </x:c>
      <x:c r="F61" s="40" t="n">
        <x:v>45876</x:v>
      </x:c>
      <x:c r="G61" s="20"/>
      <x:c r="H61" s="20" t="str">
        <x:v>8-K</x:v>
      </x:c>
      <x:c r="I61" s="40" t="n">
        <x:v>45876</x:v>
      </x:c>
      <x:c r="J61" s="41" t="n">
        <x:v>0</x:v>
      </x:c>
      <x:c r="K61" s="20" t="str">
        <x:v>Medium</x:v>
      </x:c>
      <x:c r="L61" s="20" t="str">
        <x:v>Нет</x:v>
      </x:c>
      <x:c r="M61" s="20" t="str"/>
      <x:c r="N61" s="20" t="str">
        <x:v>https://www.sec.gov/Archives/edgar/full-index/2025/QTR3/master.idx</x:v>
      </x:c>
    </x:row>
    <x:row r="62">
      <x:c r="A62" s="20" t="str">
        <x:v>2025Q3</x:v>
      </x:c>
      <x:c r="B62" s="40" t="n">
        <x:v>45930</x:v>
      </x:c>
      <x:c r="C62" s="20" t="str">
        <x:v>CION</x:v>
      </x:c>
      <x:c r="D62" s="20" t="str">
        <x:v>Listed</x:v>
      </x:c>
      <x:c r="E62" s="20" t="str">
        <x:v>CION Investment Management</x:v>
      </x:c>
      <x:c r="F62" s="40" t="n">
        <x:v>45967</x:v>
      </x:c>
      <x:c r="G62" s="20"/>
      <x:c r="H62" s="20" t="str">
        <x:v>8-K</x:v>
      </x:c>
      <x:c r="I62" s="40" t="n">
        <x:v>45967</x:v>
      </x:c>
      <x:c r="J62" s="41" t="n">
        <x:v>0</x:v>
      </x:c>
      <x:c r="K62" s="20" t="str">
        <x:v>Medium</x:v>
      </x:c>
      <x:c r="L62" s="20" t="str">
        <x:v>Нет</x:v>
      </x:c>
      <x:c r="M62" s="20" t="str"/>
      <x:c r="N62" s="20" t="str">
        <x:v>https://www.sec.gov/Archives/edgar/full-index/2025/QTR4/master.idx</x:v>
      </x:c>
    </x:row>
    <x:row r="63">
      <x:c r="A63" s="20" t="str">
        <x:v>2025Q4</x:v>
      </x:c>
      <x:c r="B63" s="40" t="n">
        <x:v>46022</x:v>
      </x:c>
      <x:c r="C63" s="20" t="str">
        <x:v>CION</x:v>
      </x:c>
      <x:c r="D63" s="20" t="str">
        <x:v>Listed</x:v>
      </x:c>
      <x:c r="E63" s="20" t="str">
        <x:v>CION Investment Management</x:v>
      </x:c>
      <x:c r="F63" s="40" t="n">
        <x:v>46093</x:v>
      </x:c>
      <x:c r="G63" s="20"/>
      <x:c r="H63" s="20" t="str">
        <x:v>8-K</x:v>
      </x:c>
      <x:c r="I63" s="40" t="n">
        <x:v>46093</x:v>
      </x:c>
      <x:c r="J63" s="41" t="n">
        <x:v>0</x:v>
      </x:c>
      <x:c r="K63" s="20" t="str">
        <x:v>Medium</x:v>
      </x:c>
      <x:c r="L63" s="20" t="str">
        <x:v>Нет</x:v>
      </x:c>
      <x:c r="M63" s="20" t="str">
        <x:v>Very late listed filer</x:v>
      </x:c>
      <x:c r="N63" s="20" t="str">
        <x:v>https://www.sec.gov/Archives/edgar/full-index/2026/QTR1/master.idx</x:v>
      </x:c>
    </x:row>
    <x:row r="64">
      <x:c r="A64" s="20" t="str">
        <x:v>2026Q1</x:v>
      </x:c>
      <x:c r="B64" s="40" t="n">
        <x:v>46112</x:v>
      </x:c>
      <x:c r="C64" s="20" t="str">
        <x:v>CION</x:v>
      </x:c>
      <x:c r="D64" s="20" t="str">
        <x:v>Listed</x:v>
      </x:c>
      <x:c r="E64" s="20" t="str">
        <x:v>CION Investment Management</x:v>
      </x:c>
      <x:c r="F64" s="40" t="n">
        <x:v>46149</x:v>
      </x:c>
      <x:c r="G64" s="20"/>
      <x:c r="H64" s="20" t="str">
        <x:v>8-K</x:v>
      </x:c>
      <x:c r="I64" s="40" t="n">
        <x:v>46149</x:v>
      </x:c>
      <x:c r="J64" s="41" t="n">
        <x:v>0</x:v>
      </x:c>
      <x:c r="K64" s="20" t="str">
        <x:v>Medium</x:v>
      </x:c>
      <x:c r="L64" s="20" t="str">
        <x:v>Нет</x:v>
      </x:c>
      <x:c r="M64" s="20" t="str"/>
      <x:c r="N64" s="20" t="str">
        <x:v>https://www.sec.gov/Archives/edgar/full-index/2026/QTR2/master.idx</x:v>
      </x:c>
    </x:row>
    <x:row r="65">
      <x:c r="A65" s="20" t="str">
        <x:v>2025Q2</x:v>
      </x:c>
      <x:c r="B65" s="40" t="n">
        <x:v>45838</x:v>
      </x:c>
      <x:c r="C65" s="20" t="str">
        <x:v>BCRED</x:v>
      </x:c>
      <x:c r="D65" s="20" t="str">
        <x:v>Non-listed</x:v>
      </x:c>
      <x:c r="E65" s="20" t="str">
        <x:v>Blackstone</x:v>
      </x:c>
      <x:c r="F65" s="40" t="n">
        <x:v>45881</x:v>
      </x:c>
      <x:c r="G65" s="20"/>
      <x:c r="H65" s="20" t="str">
        <x:v>10-Q</x:v>
      </x:c>
      <x:c r="I65" s="40" t="n">
        <x:v>45881</x:v>
      </x:c>
      <x:c r="J65" s="41" t="n">
        <x:v>0</x:v>
      </x:c>
      <x:c r="K65" s="20" t="str">
        <x:v>High</x:v>
      </x:c>
      <x:c r="L65" s="20" t="str">
        <x:v>Частично</x:v>
      </x:c>
      <x:c r="M65" s="20" t="str">
        <x:v>Periodic filing used directly</x:v>
      </x:c>
      <x:c r="N65" s="20" t="str">
        <x:v>https://www.sec.gov/Archives/edgar/full-index/2025/QTR3/master.idx</x:v>
      </x:c>
    </x:row>
    <x:row r="66">
      <x:c r="A66" s="20" t="str">
        <x:v>2025Q3</x:v>
      </x:c>
      <x:c r="B66" s="40" t="n">
        <x:v>45930</x:v>
      </x:c>
      <x:c r="C66" s="20" t="str">
        <x:v>BCRED</x:v>
      </x:c>
      <x:c r="D66" s="20" t="str">
        <x:v>Non-listed</x:v>
      </x:c>
      <x:c r="E66" s="20" t="str">
        <x:v>Blackstone</x:v>
      </x:c>
      <x:c r="F66" s="40" t="n">
        <x:v>45974</x:v>
      </x:c>
      <x:c r="G66" s="20"/>
      <x:c r="H66" s="20" t="str">
        <x:v>10-Q</x:v>
      </x:c>
      <x:c r="I66" s="40" t="n">
        <x:v>45974</x:v>
      </x:c>
      <x:c r="J66" s="41" t="n">
        <x:v>0</x:v>
      </x:c>
      <x:c r="K66" s="20" t="str">
        <x:v>High</x:v>
      </x:c>
      <x:c r="L66" s="20" t="str">
        <x:v>Частично</x:v>
      </x:c>
      <x:c r="M66" s="20" t="str">
        <x:v>Periodic filing used directly</x:v>
      </x:c>
      <x:c r="N66" s="20" t="str">
        <x:v>https://www.sec.gov/Archives/edgar/full-index/2025/QTR4/master.idx</x:v>
      </x:c>
    </x:row>
    <x:row r="67">
      <x:c r="A67" s="20" t="str">
        <x:v>2025Q4</x:v>
      </x:c>
      <x:c r="B67" s="40" t="n">
        <x:v>46022</x:v>
      </x:c>
      <x:c r="C67" s="20" t="str">
        <x:v>BCRED</x:v>
      </x:c>
      <x:c r="D67" s="20" t="str">
        <x:v>Non-listed</x:v>
      </x:c>
      <x:c r="E67" s="20" t="str">
        <x:v>Blackstone</x:v>
      </x:c>
      <x:c r="F67" s="40" t="n">
        <x:v>46094</x:v>
      </x:c>
      <x:c r="G67" s="20"/>
      <x:c r="H67" s="20" t="str">
        <x:v>10-K</x:v>
      </x:c>
      <x:c r="I67" s="40" t="n">
        <x:v>46094</x:v>
      </x:c>
      <x:c r="J67" s="41" t="n">
        <x:v>0</x:v>
      </x:c>
      <x:c r="K67" s="20" t="str">
        <x:v>High</x:v>
      </x:c>
      <x:c r="L67" s="20" t="str">
        <x:v>Частично</x:v>
      </x:c>
      <x:c r="M67" s="20" t="str">
        <x:v>Periodic filing used directly</x:v>
      </x:c>
      <x:c r="N67" s="20" t="str">
        <x:v>https://www.sec.gov/Archives/edgar/full-index/2026/QTR1/master.idx</x:v>
      </x:c>
    </x:row>
    <x:row r="68">
      <x:c r="A68" s="20" t="str">
        <x:v>2026Q1</x:v>
      </x:c>
      <x:c r="B68" s="40" t="n">
        <x:v>46112</x:v>
      </x:c>
      <x:c r="C68" s="20" t="str">
        <x:v>BCRED</x:v>
      </x:c>
      <x:c r="D68" s="20" t="str">
        <x:v>Non-listed</x:v>
      </x:c>
      <x:c r="E68" s="20" t="str">
        <x:v>Blackstone</x:v>
      </x:c>
      <x:c r="F68" s="40" t="n">
        <x:v>46156</x:v>
      </x:c>
      <x:c r="G68" s="20"/>
      <x:c r="H68" s="20" t="str">
        <x:v>10-Q</x:v>
      </x:c>
      <x:c r="I68" s="40" t="n">
        <x:v>46156</x:v>
      </x:c>
      <x:c r="J68" s="41" t="n">
        <x:v>0</x:v>
      </x:c>
      <x:c r="K68" s="20" t="str">
        <x:v>High</x:v>
      </x:c>
      <x:c r="L68" s="20" t="str">
        <x:v>Частично</x:v>
      </x:c>
      <x:c r="M68" s="20" t="str">
        <x:v>Periodic filing used directly</x:v>
      </x:c>
      <x:c r="N68" s="20" t="str">
        <x:v>https://www.sec.gov/Archives/edgar/full-index/2026/QTR2/master.idx</x:v>
      </x:c>
    </x:row>
    <x:row r="69">
      <x:c r="A69" s="20" t="str">
        <x:v>2025Q2</x:v>
      </x:c>
      <x:c r="B69" s="40" t="n">
        <x:v>45838</x:v>
      </x:c>
      <x:c r="C69" s="20" t="str">
        <x:v>OCIC</x:v>
      </x:c>
      <x:c r="D69" s="20" t="str">
        <x:v>Non-listed</x:v>
      </x:c>
      <x:c r="E69" s="20" t="str">
        <x:v>Blue Owl</x:v>
      </x:c>
      <x:c r="F69" s="40" t="n">
        <x:v>45876</x:v>
      </x:c>
      <x:c r="G69" s="20"/>
      <x:c r="H69" s="20" t="str">
        <x:v>10-Q</x:v>
      </x:c>
      <x:c r="I69" s="40" t="n">
        <x:v>45876</x:v>
      </x:c>
      <x:c r="J69" s="41" t="n">
        <x:v>0</x:v>
      </x:c>
      <x:c r="K69" s="20" t="str">
        <x:v>High</x:v>
      </x:c>
      <x:c r="L69" s="20" t="str">
        <x:v>Частично</x:v>
      </x:c>
      <x:c r="M69" s="20" t="str">
        <x:v>Periodic filing used directly</x:v>
      </x:c>
      <x:c r="N69" s="20" t="str">
        <x:v>https://www.sec.gov/Archives/edgar/full-index/2025/QTR3/master.idx</x:v>
      </x:c>
    </x:row>
    <x:row r="70">
      <x:c r="A70" s="20" t="str">
        <x:v>2025Q3</x:v>
      </x:c>
      <x:c r="B70" s="40" t="n">
        <x:v>45930</x:v>
      </x:c>
      <x:c r="C70" s="20" t="str">
        <x:v>OCIC</x:v>
      </x:c>
      <x:c r="D70" s="20" t="str">
        <x:v>Non-listed</x:v>
      </x:c>
      <x:c r="E70" s="20" t="str">
        <x:v>Blue Owl</x:v>
      </x:c>
      <x:c r="F70" s="40" t="n">
        <x:v>45967</x:v>
      </x:c>
      <x:c r="G70" s="20"/>
      <x:c r="H70" s="20" t="str">
        <x:v>10-Q</x:v>
      </x:c>
      <x:c r="I70" s="40" t="n">
        <x:v>45967</x:v>
      </x:c>
      <x:c r="J70" s="41" t="n">
        <x:v>0</x:v>
      </x:c>
      <x:c r="K70" s="20" t="str">
        <x:v>High</x:v>
      </x:c>
      <x:c r="L70" s="20" t="str">
        <x:v>Частично</x:v>
      </x:c>
      <x:c r="M70" s="20" t="str">
        <x:v>Periodic filing used directly</x:v>
      </x:c>
      <x:c r="N70" s="20" t="str">
        <x:v>https://www.sec.gov/Archives/edgar/full-index/2025/QTR4/master.idx</x:v>
      </x:c>
    </x:row>
    <x:row r="71">
      <x:c r="A71" s="20" t="str">
        <x:v>2025Q4</x:v>
      </x:c>
      <x:c r="B71" s="40" t="n">
        <x:v>46022</x:v>
      </x:c>
      <x:c r="C71" s="20" t="str">
        <x:v>OCIC</x:v>
      </x:c>
      <x:c r="D71" s="20" t="str">
        <x:v>Non-listed</x:v>
      </x:c>
      <x:c r="E71" s="20" t="str">
        <x:v>Blue Owl</x:v>
      </x:c>
      <x:c r="F71" s="40" t="n">
        <x:v>46084</x:v>
      </x:c>
      <x:c r="G71" s="20"/>
      <x:c r="H71" s="20" t="str">
        <x:v>10-K</x:v>
      </x:c>
      <x:c r="I71" s="40" t="n">
        <x:v>46084</x:v>
      </x:c>
      <x:c r="J71" s="41" t="n">
        <x:v>0</x:v>
      </x:c>
      <x:c r="K71" s="20" t="str">
        <x:v>High</x:v>
      </x:c>
      <x:c r="L71" s="20" t="str">
        <x:v>Частично</x:v>
      </x:c>
      <x:c r="M71" s="20" t="str">
        <x:v>Periodic filing used directly</x:v>
      </x:c>
      <x:c r="N71" s="20" t="str">
        <x:v>https://www.sec.gov/Archives/edgar/full-index/2026/QTR1/master.idx</x:v>
      </x:c>
    </x:row>
    <x:row r="72">
      <x:c r="A72" s="20" t="str">
        <x:v>2026Q1</x:v>
      </x:c>
      <x:c r="B72" s="40" t="n">
        <x:v>46112</x:v>
      </x:c>
      <x:c r="C72" s="20" t="str">
        <x:v>OCIC</x:v>
      </x:c>
      <x:c r="D72" s="20" t="str">
        <x:v>Non-listed</x:v>
      </x:c>
      <x:c r="E72" s="20" t="str">
        <x:v>Blue Owl</x:v>
      </x:c>
      <x:c r="F72" s="40" t="n">
        <x:v>46153</x:v>
      </x:c>
      <x:c r="G72" s="20"/>
      <x:c r="H72" s="20" t="str">
        <x:v>8-K</x:v>
      </x:c>
      <x:c r="I72" s="40" t="n">
        <x:v>46153</x:v>
      </x:c>
      <x:c r="J72" s="41" t="n">
        <x:v>0</x:v>
      </x:c>
      <x:c r="K72" s="20" t="str">
        <x:v>Low</x:v>
      </x:c>
      <x:c r="L72" s="20" t="str">
        <x:v>Нет</x:v>
      </x:c>
      <x:c r="M72" s="20" t="str">
        <x:v>Manual review: confirm first NAV/earnings disclosure and periodic filing</x:v>
      </x:c>
      <x:c r="N72" s="20" t="str">
        <x:v>https://www.sec.gov/Archives/edgar/full-index/2026/QTR2/master.idx</x:v>
      </x:c>
    </x:row>
    <x:row r="73">
      <x:c r="A73" s="20" t="str">
        <x:v>2025Q2</x:v>
      </x:c>
      <x:c r="B73" s="40" t="n">
        <x:v>45838</x:v>
      </x:c>
      <x:c r="C73" s="20" t="str">
        <x:v>ADS</x:v>
      </x:c>
      <x:c r="D73" s="20" t="str">
        <x:v>Non-listed</x:v>
      </x:c>
      <x:c r="E73" s="20" t="str">
        <x:v>Apollo</x:v>
      </x:c>
      <x:c r="F73" s="40" t="n">
        <x:v>45877</x:v>
      </x:c>
      <x:c r="G73" s="20"/>
      <x:c r="H73" s="20" t="str">
        <x:v>10-Q</x:v>
      </x:c>
      <x:c r="I73" s="40" t="n">
        <x:v>45877</x:v>
      </x:c>
      <x:c r="J73" s="41" t="n">
        <x:v>0</x:v>
      </x:c>
      <x:c r="K73" s="20" t="str">
        <x:v>High</x:v>
      </x:c>
      <x:c r="L73" s="20" t="str">
        <x:v>Частично</x:v>
      </x:c>
      <x:c r="M73" s="20" t="str">
        <x:v>Periodic filing used directly</x:v>
      </x:c>
      <x:c r="N73" s="20" t="str">
        <x:v>https://www.sec.gov/Archives/edgar/full-index/2025/QTR3/master.idx</x:v>
      </x:c>
    </x:row>
    <x:row r="74">
      <x:c r="A74" s="20" t="str">
        <x:v>2025Q3</x:v>
      </x:c>
      <x:c r="B74" s="40" t="n">
        <x:v>45930</x:v>
      </x:c>
      <x:c r="C74" s="20" t="str">
        <x:v>ADS</x:v>
      </x:c>
      <x:c r="D74" s="20" t="str">
        <x:v>Non-listed</x:v>
      </x:c>
      <x:c r="E74" s="20" t="str">
        <x:v>Apollo</x:v>
      </x:c>
      <x:c r="F74" s="40" t="n">
        <x:v>45973</x:v>
      </x:c>
      <x:c r="G74" s="20"/>
      <x:c r="H74" s="20" t="str">
        <x:v>10-Q</x:v>
      </x:c>
      <x:c r="I74" s="40" t="n">
        <x:v>45973</x:v>
      </x:c>
      <x:c r="J74" s="41" t="n">
        <x:v>0</x:v>
      </x:c>
      <x:c r="K74" s="20" t="str">
        <x:v>High</x:v>
      </x:c>
      <x:c r="L74" s="20" t="str">
        <x:v>Частично</x:v>
      </x:c>
      <x:c r="M74" s="20" t="str">
        <x:v>Periodic filing used directly</x:v>
      </x:c>
      <x:c r="N74" s="20" t="str">
        <x:v>https://www.sec.gov/Archives/edgar/full-index/2025/QTR4/master.idx</x:v>
      </x:c>
    </x:row>
    <x:row r="75">
      <x:c r="A75" s="20" t="str">
        <x:v>2025Q4</x:v>
      </x:c>
      <x:c r="B75" s="40" t="n">
        <x:v>46022</x:v>
      </x:c>
      <x:c r="C75" s="20" t="str">
        <x:v>ADS</x:v>
      </x:c>
      <x:c r="D75" s="20" t="str">
        <x:v>Non-listed</x:v>
      </x:c>
      <x:c r="E75" s="20" t="str">
        <x:v>Apollo</x:v>
      </x:c>
      <x:c r="F75" s="40" t="n">
        <x:v>46092</x:v>
      </x:c>
      <x:c r="G75" s="20"/>
      <x:c r="H75" s="20" t="str">
        <x:v>8-K</x:v>
      </x:c>
      <x:c r="I75" s="40" t="n">
        <x:v>46092</x:v>
      </x:c>
      <x:c r="J75" s="41" t="n">
        <x:v>0</x:v>
      </x:c>
      <x:c r="K75" s="20" t="str">
        <x:v>Low</x:v>
      </x:c>
      <x:c r="L75" s="20" t="str">
        <x:v>Нет</x:v>
      </x:c>
      <x:c r="M75" s="20" t="str">
        <x:v>Manual review: confirm first NAV/earnings disclosure</x:v>
      </x:c>
      <x:c r="N75" s="20" t="str">
        <x:v>https://www.sec.gov/Archives/edgar/full-index/2026/QTR1/master.idx</x:v>
      </x:c>
    </x:row>
    <x:row r="76">
      <x:c r="A76" s="20" t="str">
        <x:v>2026Q1</x:v>
      </x:c>
      <x:c r="B76" s="40" t="n">
        <x:v>46112</x:v>
      </x:c>
      <x:c r="C76" s="20" t="str">
        <x:v>ADS</x:v>
      </x:c>
      <x:c r="D76" s="20" t="str">
        <x:v>Non-listed</x:v>
      </x:c>
      <x:c r="E76" s="20" t="str">
        <x:v>Apollo</x:v>
      </x:c>
      <x:c r="F76" s="40" t="n">
        <x:v>46153</x:v>
      </x:c>
      <x:c r="G76" s="20"/>
      <x:c r="H76" s="20" t="str">
        <x:v>10-Q</x:v>
      </x:c>
      <x:c r="I76" s="40" t="n">
        <x:v>46153</x:v>
      </x:c>
      <x:c r="J76" s="41" t="n">
        <x:v>0</x:v>
      </x:c>
      <x:c r="K76" s="20" t="str">
        <x:v>High</x:v>
      </x:c>
      <x:c r="L76" s="20" t="str">
        <x:v>Частично</x:v>
      </x:c>
      <x:c r="M76" s="20" t="str">
        <x:v>Periodic filing used directly</x:v>
      </x:c>
      <x:c r="N76" s="20" t="str">
        <x:v>https://www.sec.gov/Archives/edgar/full-index/2026/QTR2/master.idx</x:v>
      </x:c>
    </x:row>
    <x:row r="77">
      <x:c r="A77" s="20" t="str">
        <x:v>2025Q2</x:v>
      </x:c>
      <x:c r="B77" s="40" t="n">
        <x:v>45838</x:v>
      </x:c>
      <x:c r="C77" s="20" t="str">
        <x:v>ASIF</x:v>
      </x:c>
      <x:c r="D77" s="20" t="str">
        <x:v>Non-listed</x:v>
      </x:c>
      <x:c r="E77" s="20" t="str">
        <x:v>Ares</x:v>
      </x:c>
      <x:c r="F77" s="40" t="n">
        <x:v>45875</x:v>
      </x:c>
      <x:c r="G77" s="20"/>
      <x:c r="H77" s="20" t="str">
        <x:v>8-K</x:v>
      </x:c>
      <x:c r="I77" s="40" t="n">
        <x:v>45877</x:v>
      </x:c>
      <x:c r="J77" s="41" t="n">
        <x:v>2</x:v>
      </x:c>
      <x:c r="K77" s="20" t="str">
        <x:v>Medium</x:v>
      </x:c>
      <x:c r="L77" s="20" t="str">
        <x:v>Нет</x:v>
      </x:c>
      <x:c r="M77" s="20" t="str">
        <x:v>8-K preceded periodic filing</x:v>
      </x:c>
      <x:c r="N77" s="20" t="str">
        <x:v>https://www.sec.gov/Archives/edgar/full-index/2025/QTR3/master.idx</x:v>
      </x:c>
    </x:row>
    <x:row r="78">
      <x:c r="A78" s="20" t="str">
        <x:v>2025Q3</x:v>
      </x:c>
      <x:c r="B78" s="40" t="n">
        <x:v>45930</x:v>
      </x:c>
      <x:c r="C78" s="20" t="str">
        <x:v>ASIF</x:v>
      </x:c>
      <x:c r="D78" s="20" t="str">
        <x:v>Non-listed</x:v>
      </x:c>
      <x:c r="E78" s="20" t="str">
        <x:v>Ares</x:v>
      </x:c>
      <x:c r="F78" s="40" t="n">
        <x:v>45975</x:v>
      </x:c>
      <x:c r="G78" s="20"/>
      <x:c r="H78" s="20" t="str">
        <x:v>10-Q</x:v>
      </x:c>
      <x:c r="I78" s="40" t="n">
        <x:v>45975</x:v>
      </x:c>
      <x:c r="J78" s="41" t="n">
        <x:v>0</x:v>
      </x:c>
      <x:c r="K78" s="20" t="str">
        <x:v>High</x:v>
      </x:c>
      <x:c r="L78" s="20" t="str">
        <x:v>Частично</x:v>
      </x:c>
      <x:c r="M78" s="20" t="str">
        <x:v>Periodic filing used directly</x:v>
      </x:c>
      <x:c r="N78" s="20" t="str">
        <x:v>https://www.sec.gov/Archives/edgar/full-index/2025/QTR4/master.idx</x:v>
      </x:c>
    </x:row>
    <x:row r="79">
      <x:c r="A79" s="20" t="str">
        <x:v>2025Q4</x:v>
      </x:c>
      <x:c r="B79" s="40" t="n">
        <x:v>46022</x:v>
      </x:c>
      <x:c r="C79" s="20" t="str">
        <x:v>ASIF</x:v>
      </x:c>
      <x:c r="D79" s="20" t="str">
        <x:v>Non-listed</x:v>
      </x:c>
      <x:c r="E79" s="20" t="str">
        <x:v>Ares</x:v>
      </x:c>
      <x:c r="F79" s="40" t="n">
        <x:v>46090</x:v>
      </x:c>
      <x:c r="G79" s="20"/>
      <x:c r="H79" s="20" t="str">
        <x:v>10-K</x:v>
      </x:c>
      <x:c r="I79" s="40" t="n">
        <x:v>46090</x:v>
      </x:c>
      <x:c r="J79" s="41" t="n">
        <x:v>0</x:v>
      </x:c>
      <x:c r="K79" s="20" t="str">
        <x:v>High</x:v>
      </x:c>
      <x:c r="L79" s="20" t="str">
        <x:v>Частично</x:v>
      </x:c>
      <x:c r="M79" s="20" t="str">
        <x:v>Periodic filing used directly</x:v>
      </x:c>
      <x:c r="N79" s="20" t="str">
        <x:v>https://www.sec.gov/Archives/edgar/full-index/2026/QTR1/master.idx</x:v>
      </x:c>
    </x:row>
    <x:row r="80">
      <x:c r="A80" s="20" t="str">
        <x:v>2026Q1</x:v>
      </x:c>
      <x:c r="B80" s="40" t="n">
        <x:v>46112</x:v>
      </x:c>
      <x:c r="C80" s="20" t="str">
        <x:v>ASIF</x:v>
      </x:c>
      <x:c r="D80" s="20" t="str">
        <x:v>Non-listed</x:v>
      </x:c>
      <x:c r="E80" s="20" t="str">
        <x:v>Ares</x:v>
      </x:c>
      <x:c r="F80" s="40" t="n">
        <x:v>46154</x:v>
      </x:c>
      <x:c r="G80" s="20"/>
      <x:c r="H80" s="20" t="str">
        <x:v>10-Q</x:v>
      </x:c>
      <x:c r="I80" s="40" t="n">
        <x:v>46154</x:v>
      </x:c>
      <x:c r="J80" s="41" t="n">
        <x:v>0</x:v>
      </x:c>
      <x:c r="K80" s="20" t="str">
        <x:v>High</x:v>
      </x:c>
      <x:c r="L80" s="20" t="str">
        <x:v>Частично</x:v>
      </x:c>
      <x:c r="M80" s="20" t="str">
        <x:v>Periodic filing used directly</x:v>
      </x:c>
      <x:c r="N80" s="20" t="str">
        <x:v>https://www.sec.gov/Archives/edgar/full-index/2026/QTR2/master.idx</x:v>
      </x:c>
    </x:row>
    <x:row r="81">
      <x:c r="A81" s="20" t="str">
        <x:v>2025Q2</x:v>
      </x:c>
      <x:c r="B81" s="40" t="n">
        <x:v>45838</x:v>
      </x:c>
      <x:c r="C81" s="20" t="str">
        <x:v>GCP</x:v>
      </x:c>
      <x:c r="D81" s="20" t="str">
        <x:v>Non-listed</x:v>
      </x:c>
      <x:c r="E81" s="20" t="str">
        <x:v>Golub Capital</x:v>
      </x:c>
      <x:c r="F81" s="40" t="n">
        <x:v>45881</x:v>
      </x:c>
      <x:c r="G81" s="20"/>
      <x:c r="H81" s="20" t="str">
        <x:v>10-Q</x:v>
      </x:c>
      <x:c r="I81" s="40" t="n">
        <x:v>45881</x:v>
      </x:c>
      <x:c r="J81" s="41" t="n">
        <x:v>0</x:v>
      </x:c>
      <x:c r="K81" s="20" t="str">
        <x:v>High</x:v>
      </x:c>
      <x:c r="L81" s="20" t="str">
        <x:v>Частично</x:v>
      </x:c>
      <x:c r="M81" s="20" t="str">
        <x:v>Periodic filing used directly</x:v>
      </x:c>
      <x:c r="N81" s="20" t="str">
        <x:v>https://www.sec.gov/Archives/edgar/full-index/2025/QTR3/master.idx</x:v>
      </x:c>
    </x:row>
    <x:row r="82">
      <x:c r="A82" s="20" t="str">
        <x:v>2025Q3</x:v>
      </x:c>
      <x:c r="B82" s="40" t="n">
        <x:v>45930</x:v>
      </x:c>
      <x:c r="C82" s="20" t="str">
        <x:v>GCP</x:v>
      </x:c>
      <x:c r="D82" s="20" t="str">
        <x:v>Non-listed</x:v>
      </x:c>
      <x:c r="E82" s="20" t="str">
        <x:v>Golub Capital</x:v>
      </x:c>
      <x:c r="F82" s="40" t="n">
        <x:v>45986</x:v>
      </x:c>
      <x:c r="G82" s="20"/>
      <x:c r="H82" s="20" t="str">
        <x:v>8-K</x:v>
      </x:c>
      <x:c r="I82" s="40" t="n">
        <x:v>45986</x:v>
      </x:c>
      <x:c r="J82" s="41" t="n">
        <x:v>0</x:v>
      </x:c>
      <x:c r="K82" s="20" t="str">
        <x:v>Low</x:v>
      </x:c>
      <x:c r="L82" s="20" t="str">
        <x:v>Нет</x:v>
      </x:c>
      <x:c r="M82" s="20" t="str">
        <x:v>Manual review: verify quarter attribution and first NAV disclosure</x:v>
      </x:c>
      <x:c r="N82" s="20" t="str">
        <x:v>https://www.sec.gov/Archives/edgar/full-index/2025/QTR4/master.idx</x:v>
      </x:c>
    </x:row>
    <x:row r="83">
      <x:c r="A83" s="20" t="str">
        <x:v>2025Q4</x:v>
      </x:c>
      <x:c r="B83" s="40" t="n">
        <x:v>46022</x:v>
      </x:c>
      <x:c r="C83" s="20" t="str">
        <x:v>GCP</x:v>
      </x:c>
      <x:c r="D83" s="20" t="str">
        <x:v>Non-listed</x:v>
      </x:c>
      <x:c r="E83" s="20" t="str">
        <x:v>Golub Capital</x:v>
      </x:c>
      <x:c r="F83" s="40" t="n">
        <x:v>46065</x:v>
      </x:c>
      <x:c r="G83" s="20"/>
      <x:c r="H83" s="20" t="str">
        <x:v>10-Q</x:v>
      </x:c>
      <x:c r="I83" s="40" t="n">
        <x:v>46065</x:v>
      </x:c>
      <x:c r="J83" s="41" t="n">
        <x:v>0</x:v>
      </x:c>
      <x:c r="K83" s="20" t="str">
        <x:v>Medium</x:v>
      </x:c>
      <x:c r="L83" s="20" t="str">
        <x:v>Нет</x:v>
      </x:c>
      <x:c r="M83" s="20" t="str">
        <x:v>Fiscal calendar differs; manual period check required</x:v>
      </x:c>
      <x:c r="N83" s="20" t="str">
        <x:v>https://www.sec.gov/Archives/edgar/full-index/2026/QTR1/master.idx</x:v>
      </x:c>
    </x:row>
    <x:row r="84">
      <x:c r="A84" s="20" t="str">
        <x:v>2026Q1</x:v>
      </x:c>
      <x:c r="B84" s="40" t="n">
        <x:v>46112</x:v>
      </x:c>
      <x:c r="C84" s="20" t="str">
        <x:v>GCP</x:v>
      </x:c>
      <x:c r="D84" s="20" t="str">
        <x:v>Non-listed</x:v>
      </x:c>
      <x:c r="E84" s="20" t="str">
        <x:v>Golub Capital</x:v>
      </x:c>
      <x:c r="F84" s="40" t="n">
        <x:v>46154</x:v>
      </x:c>
      <x:c r="G84" s="20"/>
      <x:c r="H84" s="20" t="str">
        <x:v>10-Q</x:v>
      </x:c>
      <x:c r="I84" s="40" t="n">
        <x:v>46154</x:v>
      </x:c>
      <x:c r="J84" s="41" t="n">
        <x:v>0</x:v>
      </x:c>
      <x:c r="K84" s="20" t="str">
        <x:v>High</x:v>
      </x:c>
      <x:c r="L84" s="20" t="str">
        <x:v>Частично</x:v>
      </x:c>
      <x:c r="M84" s="20" t="str">
        <x:v>Periodic filing used directly</x:v>
      </x:c>
      <x:c r="N84" s="20" t="str">
        <x:v>https://www.sec.gov/Archives/edgar/full-index/2026/QTR2/master.idx</x:v>
      </x:c>
    </x:row>
  </x:sheetData>
  <x:mergeCells>
    <x:mergeCell ref="A1:N1"/>
    <x:mergeCell ref="A2:N2"/>
  </x:mergeCells>
  <x:conditionalFormatting sqref="K5:K84">
    <x:cfRule type="expression" dxfId="2" priority="1">
      <x:formula>K5="Low"</x:formula>
    </x:cfRule>
    <x:cfRule type="expression" dxfId="3" priority="2">
      <x:formula>K5="High"</x:formula>
    </x:cfRule>
  </x:conditionalFormatting>
  <x:conditionalFormatting sqref="D5:D84">
    <x:cfRule type="expression" dxfId="4" priority="3">
      <x:formula>D5="Non-listed"</x:formula>
    </x:cfRule>
  </x:conditionalFormatting>
  <x:pageMargins left="0.7" right="0.7" top="0.75" bottom="0.75" header="0.3" footer="0.3"/>
  <x:tableParts count="1">
    <x:tablePart xmlns:r="http://schemas.openxmlformats.org/officeDocument/2006/relationships" r:id="Rf065a8999be7462e"/>
  </x:tableParts>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22" hidden="0" customWidth="1"/>
    <x:col min="4" max="4" width="18" hidden="0" customWidth="1"/>
    <x:col min="5" max="5" width="10" hidden="0" customWidth="1"/>
    <x:col min="6" max="6" width="10" hidden="0" customWidth="1"/>
    <x:col min="7" max="7" width="20" hidden="0" customWidth="1"/>
    <x:col min="8" max="8" width="14" hidden="0" customWidth="1"/>
    <x:col min="9" max="9" width="14" hidden="0" customWidth="1"/>
    <x:col min="10" max="10" width="18" hidden="0" customWidth="1"/>
    <x:col min="11" max="11" width="8" hidden="0" customWidth="1"/>
    <x:col min="12" max="12" width="8" hidden="0" customWidth="1"/>
    <x:col min="13" max="13" width="8" hidden="0" customWidth="1"/>
    <x:col min="14" max="14" width="8" hidden="0" customWidth="1"/>
    <x:col min="15" max="15" width="18" hidden="0" customWidth="1"/>
    <x:col min="16" max="16" width="18" hidden="0" customWidth="1"/>
    <x:col min="18" max="18" width="2" hidden="0" customWidth="1"/>
    <x:col min="19" max="19" width="2" hidden="0" customWidth="1"/>
    <x:col min="20" max="20" width="2" hidden="0" customWidth="1"/>
    <x:col min="21" max="21" width="2" hidden="0" customWidth="1"/>
    <x:col min="22" max="22" width="2" hidden="0" customWidth="1"/>
  </x:cols>
  <x:sheetData>
    <x:row r="1">
      <x:c r="A1" s="15" t="str">
        <x:v>ShadowNAV Day 1 — структурные окна раскрытия (до проверки facility overlap)</x:v>
      </x:c>
      <x:c r="B1" s="15"/>
      <x:c r="C1" s="15"/>
      <x:c r="D1" s="15"/>
      <x:c r="E1" s="15"/>
      <x:c r="F1" s="15"/>
      <x:c r="G1" s="15"/>
      <x:c r="H1" s="15"/>
      <x:c r="I1" s="15"/>
      <x:c r="J1" s="15"/>
      <x:c r="K1" s="15"/>
      <x:c r="L1" s="15"/>
      <x:c r="M1" s="15"/>
      <x:c r="N1" s="15"/>
      <x:c r="O1" s="15"/>
      <x:c r="P1" s="15"/>
    </x:row>
    <x:row r="2">
      <x:c r="A2" s="24" t="str">
        <x:v>Calendar opportunity only. Some raw dates in this workbook are heuristic and were later found to include scheduling 8-Ks. Canonical Day 1 status: cleaned workbook estimate = 295 windows ≥3d across 4 quarters; Codex 407 count is contaminated until reporting-order dates are corrected.</x:v>
      </x:c>
      <x:c r="B2" s="24"/>
      <x:c r="C2" s="24"/>
      <x:c r="D2" s="24"/>
      <x:c r="E2" s="24"/>
      <x:c r="F2" s="24"/>
      <x:c r="G2" s="24"/>
      <x:c r="H2" s="24"/>
      <x:c r="I2" s="24"/>
      <x:c r="J2" s="24"/>
      <x:c r="K2" s="24"/>
      <x:c r="L2" s="24"/>
      <x:c r="M2" s="24"/>
      <x:c r="N2" s="24"/>
      <x:c r="O2" s="24"/>
      <x:c r="P2" s="24"/>
    </x:row>
    <x:row r="4">
      <x:c r="A4" s="6" t="str">
        <x:v>Period</x:v>
      </x:c>
      <x:c r="B4" s="6" t="str">
        <x:v>BDC count</x:v>
      </x:c>
      <x:c r="C4" s="6" t="str">
        <x:v>Earliest</x:v>
      </x:c>
      <x:c r="D4" s="6" t="str">
        <x:v>Latest</x:v>
      </x:c>
      <x:c r="E4" s="6" t="str">
        <x:v>Universe span (days)</x:v>
      </x:c>
      <x:c r="F4" s="6" t="str">
        <x:v>Listed earliest</x:v>
      </x:c>
      <x:c r="G4" s="6" t="str">
        <x:v>Listed latest</x:v>
      </x:c>
      <x:c r="H4" s="6" t="str">
        <x:v>Non-listed earliest</x:v>
      </x:c>
      <x:c r="I4" s="6" t="str">
        <x:v>Non-listed latest</x:v>
      </x:c>
      <x:c r="J4" s="6" t="str">
        <x:v>Positive source→listed pairs</x:v>
      </x:c>
      <x:c r="K4" s="6" t="str">
        <x:v>≥3d</x:v>
      </x:c>
      <x:c r="L4" s="6" t="str">
        <x:v>≥5d</x:v>
      </x:c>
      <x:c r="M4" s="6" t="str">
        <x:v>≥7d</x:v>
      </x:c>
      <x:c r="N4" s="6" t="str">
        <x:v>≥10d</x:v>
      </x:c>
      <x:c r="O4" s="6" t="str">
        <x:v>Non-listed→listed positive</x:v>
      </x:c>
      <x:c r="P4" s="6" t="str">
        <x:v>Non-listed→listed ≥3d</x:v>
      </x:c>
      <x:c r="R4" t="str">
        <x:v>Period</x:v>
      </x:c>
      <x:c r="S4" t="str">
        <x:v>≥3d</x:v>
      </x:c>
      <x:c r="T4" t="str">
        <x:v>≥5d</x:v>
      </x:c>
      <x:c r="U4" t="str">
        <x:v>≥7d</x:v>
      </x:c>
      <x:c r="V4" t="str">
        <x:v>≥10d</x:v>
      </x:c>
    </x:row>
    <x:row r="5">
      <x:c r="A5" t="str">
        <x:v>2025Q2</x:v>
      </x:c>
      <x:c r="B5" s="38" t="n">
        <x:v>20</x:v>
      </x:c>
      <x:c r="C5" s="36" t="n">
        <x:v>45867</x:v>
      </x:c>
      <x:c r="D5" s="36" t="n">
        <x:v>45881</x:v>
      </x:c>
      <x:c r="E5" s="38" t="n">
        <x:v>14</x:v>
      </x:c>
      <x:c r="F5" s="36" t="n">
        <x:v>45867</x:v>
      </x:c>
      <x:c r="G5" s="36" t="n">
        <x:v>45880</x:v>
      </x:c>
      <x:c r="H5" s="36" t="n">
        <x:v>45875</x:v>
      </x:c>
      <x:c r="I5" s="36" t="n">
        <x:v>45881</x:v>
      </x:c>
      <x:c r="J5" s="38" t="n">
        <x:v>96</x:v>
      </x:c>
      <x:c r="K5" s="38" t="n">
        <x:v>52</x:v>
      </x:c>
      <x:c r="L5" s="38" t="n">
        <x:v>45</x:v>
      </x:c>
      <x:c r="M5" s="38" t="n">
        <x:v>20</x:v>
      </x:c>
      <x:c r="N5" s="38" t="n">
        <x:v>3</x:v>
      </x:c>
      <x:c r="O5" s="38" t="n">
        <x:v>4</x:v>
      </x:c>
      <x:c r="P5" s="38" t="n">
        <x:v>3</x:v>
      </x:c>
      <x:c r="R5" t="str">
        <x:v>2025Q2</x:v>
      </x:c>
      <x:c r="S5" t="n">
        <x:v>52</x:v>
      </x:c>
      <x:c r="T5" t="n">
        <x:v>45</x:v>
      </x:c>
      <x:c r="U5" t="n">
        <x:v>20</x:v>
      </x:c>
      <x:c r="V5" t="n">
        <x:v>3</x:v>
      </x:c>
    </x:row>
    <x:row r="6">
      <x:c r="A6" t="str">
        <x:v>2025Q3</x:v>
      </x:c>
      <x:c r="B6" s="38" t="n">
        <x:v>20</x:v>
      </x:c>
      <x:c r="C6" s="36" t="n">
        <x:v>45958</x:v>
      </x:c>
      <x:c r="D6" s="36" t="n">
        <x:v>45986</x:v>
      </x:c>
      <x:c r="E6" s="38" t="n">
        <x:v>28</x:v>
      </x:c>
      <x:c r="F6" s="36" t="n">
        <x:v>45958</x:v>
      </x:c>
      <x:c r="G6" s="36" t="n">
        <x:v>45979</x:v>
      </x:c>
      <x:c r="H6" s="36" t="n">
        <x:v>45967</x:v>
      </x:c>
      <x:c r="I6" s="36" t="n">
        <x:v>45986</x:v>
      </x:c>
      <x:c r="J6" s="38" t="n">
        <x:v>107</x:v>
      </x:c>
      <x:c r="K6" s="38" t="n">
        <x:v>80</x:v>
      </x:c>
      <x:c r="L6" s="38" t="n">
        <x:v>66</x:v>
      </x:c>
      <x:c r="M6" s="38" t="n">
        <x:v>45</x:v>
      </x:c>
      <x:c r="N6" s="38" t="n">
        <x:v>28</x:v>
      </x:c>
      <x:c r="O6" s="38" t="n">
        <x:v>10</x:v>
      </x:c>
      <x:c r="P6" s="38" t="n">
        <x:v>10</x:v>
      </x:c>
      <x:c r="R6" t="str">
        <x:v>2025Q3</x:v>
      </x:c>
      <x:c r="S6" t="n">
        <x:v>80</x:v>
      </x:c>
      <x:c r="T6" t="n">
        <x:v>66</x:v>
      </x:c>
      <x:c r="U6" t="n">
        <x:v>45</x:v>
      </x:c>
      <x:c r="V6" t="n">
        <x:v>28</x:v>
      </x:c>
    </x:row>
    <x:row r="7">
      <x:c r="A7" t="str">
        <x:v>2025Q4</x:v>
      </x:c>
      <x:c r="B7" s="38" t="n">
        <x:v>20</x:v>
      </x:c>
      <x:c r="C7" s="36" t="n">
        <x:v>46052</x:v>
      </x:c>
      <x:c r="D7" s="36" t="n">
        <x:v>46094</x:v>
      </x:c>
      <x:c r="E7" s="38" t="n">
        <x:v>42</x:v>
      </x:c>
      <x:c r="F7" s="36" t="n">
        <x:v>46052</x:v>
      </x:c>
      <x:c r="G7" s="36" t="n">
        <x:v>46093</x:v>
      </x:c>
      <x:c r="H7" s="36" t="n">
        <x:v>46065</x:v>
      </x:c>
      <x:c r="I7" s="36" t="n">
        <x:v>46094</x:v>
      </x:c>
      <x:c r="J7" s="38" t="n">
        <x:v>112</x:v>
      </x:c>
      <x:c r="K7" s="38" t="n">
        <x:v>95</x:v>
      </x:c>
      <x:c r="L7" s="38" t="n">
        <x:v>90</x:v>
      </x:c>
      <x:c r="M7" s="38" t="n">
        <x:v>79</x:v>
      </x:c>
      <x:c r="N7" s="38" t="n">
        <x:v>70</x:v>
      </x:c>
      <x:c r="O7" s="38" t="n">
        <x:v>12</x:v>
      </x:c>
      <x:c r="P7" s="38" t="n">
        <x:v>11</x:v>
      </x:c>
      <x:c r="R7" t="str">
        <x:v>2025Q4</x:v>
      </x:c>
      <x:c r="S7" t="n">
        <x:v>95</x:v>
      </x:c>
      <x:c r="T7" t="n">
        <x:v>90</x:v>
      </x:c>
      <x:c r="U7" t="n">
        <x:v>79</x:v>
      </x:c>
      <x:c r="V7" t="n">
        <x:v>70</x:v>
      </x:c>
    </x:row>
    <x:row r="8">
      <x:c r="A8" t="str">
        <x:v>2026Q1</x:v>
      </x:c>
      <x:c r="B8" s="38" t="n">
        <x:v>20</x:v>
      </x:c>
      <x:c r="C8" s="36" t="n">
        <x:v>46140</x:v>
      </x:c>
      <x:c r="D8" s="36" t="n">
        <x:v>46161</x:v>
      </x:c>
      <x:c r="E8" s="38" t="n">
        <x:v>21</x:v>
      </x:c>
      <x:c r="F8" s="36" t="n">
        <x:v>46140</x:v>
      </x:c>
      <x:c r="G8" s="36" t="n">
        <x:v>46161</x:v>
      </x:c>
      <x:c r="H8" s="36" t="n">
        <x:v>46153</x:v>
      </x:c>
      <x:c r="I8" s="36" t="n">
        <x:v>46156</x:v>
      </x:c>
      <x:c r="J8" s="38" t="n">
        <x:v>99</x:v>
      </x:c>
      <x:c r="K8" s="38" t="n">
        <x:v>68</x:v>
      </x:c>
      <x:c r="L8" s="38" t="n">
        <x:v>56</x:v>
      </x:c>
      <x:c r="M8" s="38" t="n">
        <x:v>37</x:v>
      </x:c>
      <x:c r="N8" s="38" t="n">
        <x:v>14</x:v>
      </x:c>
      <x:c r="O8" s="38" t="n">
        <x:v>5</x:v>
      </x:c>
      <x:c r="P8" s="38" t="n">
        <x:v>5</x:v>
      </x:c>
      <x:c r="R8" t="str">
        <x:v>2026Q1</x:v>
      </x:c>
      <x:c r="S8" t="n">
        <x:v>68</x:v>
      </x:c>
      <x:c r="T8" t="n">
        <x:v>56</x:v>
      </x:c>
      <x:c r="U8" t="n">
        <x:v>37</x:v>
      </x:c>
      <x:c r="V8" t="n">
        <x:v>14</x:v>
      </x:c>
    </x:row>
    <x:row r="11">
      <x:c r="A11" s="47" t="str">
        <x:v>Средняя позиция в календаре раскрытия (меньше = раньше)</x:v>
      </x:c>
      <x:c r="B11" s="47"/>
      <x:c r="C11" s="47"/>
      <x:c r="D11" s="47"/>
      <x:c r="E11" s="47"/>
      <x:c r="F11" s="47"/>
      <x:c r="G11" s="47"/>
    </x:row>
    <x:row r="12">
      <x:c r="A12" s="6" t="str">
        <x:v>Ticker</x:v>
      </x:c>
      <x:c r="B12" s="6" t="str">
        <x:v>Listing</x:v>
      </x:c>
      <x:c r="C12" s="6" t="str">
        <x:v>Manager</x:v>
      </x:c>
      <x:c r="D12" s="6" t="str">
        <x:v>Average dense rank</x:v>
      </x:c>
      <x:c r="E12" s="6" t="str">
        <x:v>Best rank</x:v>
      </x:c>
      <x:c r="F12" s="6" t="str">
        <x:v>Worst rank</x:v>
      </x:c>
      <x:c r="G12" s="6" t="str">
        <x:v>Ranks by quarter</x:v>
      </x:c>
    </x:row>
    <x:row r="13">
      <x:c r="A13" t="str">
        <x:v>ARCC</x:v>
      </x:c>
      <x:c r="B13" t="str">
        <x:v>Listed</x:v>
      </x:c>
      <x:c r="C13" t="str">
        <x:v>Ares</x:v>
      </x:c>
      <x:c r="D13" s="52" t="n">
        <x:v>1.25</x:v>
      </x:c>
      <x:c r="E13" s="52" t="n">
        <x:v>1</x:v>
      </x:c>
      <x:c r="F13" s="52" t="n">
        <x:v>2</x:v>
      </x:c>
      <x:c r="G13" t="str">
        <x:v>1,1,2,1</x:v>
      </x:c>
    </x:row>
    <x:row r="14">
      <x:c r="A14" t="str">
        <x:v>HTGC</x:v>
      </x:c>
      <x:c r="B14" t="str">
        <x:v>Listed</x:v>
      </x:c>
      <x:c r="C14" t="str">
        <x:v>Hercules</x:v>
      </x:c>
      <x:c r="D14" s="52" t="n">
        <x:v>2.5</x:v>
      </x:c>
      <x:c r="E14" s="52" t="n">
        <x:v>2</x:v>
      </x:c>
      <x:c r="F14" s="52" t="n">
        <x:v>3</x:v>
      </x:c>
      <x:c r="G14" t="str">
        <x:v>3,2,3,2</x:v>
      </x:c>
    </x:row>
    <x:row r="15">
      <x:c r="A15" t="str">
        <x:v>TSLX</x:v>
      </x:c>
      <x:c r="B15" t="str">
        <x:v>Listed</x:v>
      </x:c>
      <x:c r="C15" t="str">
        <x:v>Sixth Street</x:v>
      </x:c>
      <x:c r="D15" s="52" t="n">
        <x:v>3.25</x:v>
      </x:c>
      <x:c r="E15" s="52" t="n">
        <x:v>2</x:v>
      </x:c>
      <x:c r="F15" s="52" t="n">
        <x:v>4</x:v>
      </x:c>
      <x:c r="G15" t="str">
        <x:v>2,4,4,3</x:v>
      </x:c>
    </x:row>
    <x:row r="16">
      <x:c r="A16" t="str">
        <x:v>NMFC</x:v>
      </x:c>
      <x:c r="B16" t="str">
        <x:v>Listed</x:v>
      </x:c>
      <x:c r="C16" t="str">
        <x:v>New Mountain</x:v>
      </x:c>
      <x:c r="D16" s="52" t="n">
        <x:v>4</x:v>
      </x:c>
      <x:c r="E16" s="52" t="n">
        <x:v>2</x:v>
      </x:c>
      <x:c r="F16" s="52" t="n">
        <x:v>7</x:v>
      </x:c>
      <x:c r="G16" t="str">
        <x:v>4,3,7,2</x:v>
      </x:c>
    </x:row>
    <x:row r="17">
      <x:c r="A17" t="str">
        <x:v>MAIN</x:v>
      </x:c>
      <x:c r="B17" t="str">
        <x:v>Listed</x:v>
      </x:c>
      <x:c r="C17" t="str">
        <x:v>Main Street</x:v>
      </x:c>
      <x:c r="D17" s="52" t="n">
        <x:v>4.75</x:v>
      </x:c>
      <x:c r="E17" s="52" t="n">
        <x:v>3</x:v>
      </x:c>
      <x:c r="F17" s="52" t="n">
        <x:v>7</x:v>
      </x:c>
      <x:c r="G17" t="str">
        <x:v>5,4,7,3</x:v>
      </x:c>
    </x:row>
    <x:row r="18">
      <x:c r="A18" t="str">
        <x:v>GBDC</x:v>
      </x:c>
      <x:c r="B18" t="str">
        <x:v>Listed</x:v>
      </x:c>
      <x:c r="C18" t="str">
        <x:v>Golub Capital</x:v>
      </x:c>
      <x:c r="D18" s="52" t="n">
        <x:v>4.75</x:v>
      </x:c>
      <x:c r="E18" s="52" t="n">
        <x:v>2</x:v>
      </x:c>
      <x:c r="F18" s="52" t="n">
        <x:v>11</x:v>
      </x:c>
      <x:c r="G18" t="str">
        <x:v>4,11,2,2</x:v>
      </x:c>
    </x:row>
    <x:row r="19">
      <x:c r="A19" t="str">
        <x:v>CSWC</x:v>
      </x:c>
      <x:c r="B19" t="str">
        <x:v>Listed</x:v>
      </x:c>
      <x:c r="C19" t="str">
        <x:v>Capital Southwest</x:v>
      </x:c>
      <x:c r="D19" s="52" t="n">
        <x:v>4.75</x:v>
      </x:c>
      <x:c r="E19" s="52" t="n">
        <x:v>1</x:v>
      </x:c>
      <x:c r="F19" s="52" t="n">
        <x:v>9</x:v>
      </x:c>
      <x:c r="G19" t="str">
        <x:v>6,3,1,9</x:v>
      </x:c>
    </x:row>
    <x:row r="20">
      <x:c r="A20" t="str">
        <x:v>OBDC</x:v>
      </x:c>
      <x:c r="B20" t="str">
        <x:v>Listed</x:v>
      </x:c>
      <x:c r="C20" t="str">
        <x:v>Blue Owl</x:v>
      </x:c>
      <x:c r="D20" s="52" t="n">
        <x:v>5</x:v>
      </x:c>
      <x:c r="E20" s="52" t="n">
        <x:v>4</x:v>
      </x:c>
      <x:c r="F20" s="52" t="n">
        <x:v>6</x:v>
      </x:c>
      <x:c r="G20" t="str">
        <x:v>6,5,5,4</x:v>
      </x:c>
    </x:row>
    <x:row r="21">
      <x:c r="A21" t="str">
        <x:v>CGBD</x:v>
      </x:c>
      <x:c r="B21" t="str">
        <x:v>Listed</x:v>
      </x:c>
      <x:c r="C21" t="str">
        <x:v>Carlyle</x:v>
      </x:c>
      <x:c r="D21" s="52" t="n">
        <x:v>5.25</x:v>
      </x:c>
      <x:c r="E21" s="52" t="n">
        <x:v>4</x:v>
      </x:c>
      <x:c r="F21" s="52" t="n">
        <x:v>6</x:v>
      </x:c>
      <x:c r="G21" t="str">
        <x:v>5,4,6,6</x:v>
      </x:c>
    </x:row>
    <x:row r="22">
      <x:c r="A22" t="str">
        <x:v>OCSL</x:v>
      </x:c>
      <x:c r="B22" t="str">
        <x:v>Listed</x:v>
      </x:c>
      <x:c r="C22" t="str">
        <x:v>Oaktree</x:v>
      </x:c>
      <x:c r="D22" s="52" t="n">
        <x:v>5.25</x:v>
      </x:c>
      <x:c r="E22" s="52" t="n">
        <x:v>2</x:v>
      </x:c>
      <x:c r="F22" s="52" t="n">
        <x:v>11</x:v>
      </x:c>
      <x:c r="G22" t="str">
        <x:v>5,11,2,3</x:v>
      </x:c>
    </x:row>
    <x:row r="23">
      <x:c r="A23" t="str">
        <x:v>FSK</x:v>
      </x:c>
      <x:c r="B23" t="str">
        <x:v>Listed</x:v>
      </x:c>
      <x:c r="C23" t="str">
        <x:v>FS Investments / KKR</x:v>
      </x:c>
      <x:c r="D23" s="52" t="n">
        <x:v>6.25</x:v>
      </x:c>
      <x:c r="E23" s="52" t="n">
        <x:v>5</x:v>
      </x:c>
      <x:c r="F23" s="52" t="n">
        <x:v>8</x:v>
      </x:c>
      <x:c r="G23" t="str">
        <x:v>6,5,8,6</x:v>
      </x:c>
    </x:row>
    <x:row r="24">
      <x:c r="A24" t="str">
        <x:v>BXSL</x:v>
      </x:c>
      <x:c r="B24" t="str">
        <x:v>Listed</x:v>
      </x:c>
      <x:c r="C24" t="str">
        <x:v>Blackstone</x:v>
      </x:c>
      <x:c r="D24" s="52" t="n">
        <x:v>6.5</x:v>
      </x:c>
      <x:c r="E24" s="52" t="n">
        <x:v>5</x:v>
      </x:c>
      <x:c r="F24" s="52" t="n">
        <x:v>8</x:v>
      </x:c>
      <x:c r="G24" t="str">
        <x:v>6,7,8,5</x:v>
      </x:c>
    </x:row>
    <x:row r="25">
      <x:c r="A25" t="str">
        <x:v>MFIC</x:v>
      </x:c>
      <x:c r="B25" t="str">
        <x:v>Listed</x:v>
      </x:c>
      <x:c r="C25" t="str">
        <x:v>MidCap / Apollo</x:v>
      </x:c>
      <x:c r="D25" s="52" t="n">
        <x:v>7</x:v>
      </x:c>
      <x:c r="E25" s="52" t="n">
        <x:v>4</x:v>
      </x:c>
      <x:c r="F25" s="52" t="n">
        <x:v>9</x:v>
      </x:c>
      <x:c r="G25" t="str">
        <x:v>9,6,9,4</x:v>
      </x:c>
    </x:row>
    <x:row r="26">
      <x:c r="A26" t="str">
        <x:v>BCSF</x:v>
      </x:c>
      <x:c r="B26" t="str">
        <x:v>Listed</x:v>
      </x:c>
      <x:c r="C26" t="str">
        <x:v>Bain Capital</x:v>
      </x:c>
      <x:c r="D26" s="52" t="n">
        <x:v>7</x:v>
      </x:c>
      <x:c r="E26" s="52" t="n">
        <x:v>5</x:v>
      </x:c>
      <x:c r="F26" s="52" t="n">
        <x:v>10</x:v>
      </x:c>
      <x:c r="G26" t="str">
        <x:v>5,7,10,6</x:v>
      </x:c>
    </x:row>
    <x:row r="27">
      <x:c r="A27" t="str">
        <x:v>OCIC</x:v>
      </x:c>
      <x:c r="B27" t="str">
        <x:v>Non-listed</x:v>
      </x:c>
      <x:c r="C27" t="str">
        <x:v>Blue Owl</x:v>
      </x:c>
      <x:c r="D27" s="52" t="n">
        <x:v>7.5</x:v>
      </x:c>
      <x:c r="E27" s="52" t="n">
        <x:v>6</x:v>
      </x:c>
      <x:c r="F27" s="52" t="n">
        <x:v>11</x:v>
      </x:c>
      <x:c r="G27" t="str">
        <x:v>7,6,11,6</x:v>
      </x:c>
    </x:row>
    <x:row r="28">
      <x:c r="A28" t="str">
        <x:v>CION</x:v>
      </x:c>
      <x:c r="B28" t="str">
        <x:v>Listed</x:v>
      </x:c>
      <x:c r="C28" t="str">
        <x:v>CION Investment Management</x:v>
      </x:c>
      <x:c r="D28" s="52" t="n">
        <x:v>8</x:v>
      </x:c>
      <x:c r="E28" s="52" t="n">
        <x:v>5</x:v>
      </x:c>
      <x:c r="F28" s="52" t="n">
        <x:v>14</x:v>
      </x:c>
      <x:c r="G28" t="str">
        <x:v>7,6,14,5</x:v>
      </x:c>
    </x:row>
    <x:row r="29">
      <x:c r="A29" t="str">
        <x:v>GCP</x:v>
      </x:c>
      <x:c r="B29" t="str">
        <x:v>Non-listed</x:v>
      </x:c>
      <x:c r="C29" t="str">
        <x:v>Golub Capital</x:v>
      </x:c>
      <x:c r="D29" s="52" t="n">
        <x:v>8.25</x:v>
      </x:c>
      <x:c r="E29" s="52" t="n">
        <x:v>4</x:v>
      </x:c>
      <x:c r="F29" s="52" t="n">
        <x:v>12</x:v>
      </x:c>
      <x:c r="G29" t="str">
        <x:v>10,12,4,7</x:v>
      </x:c>
    </x:row>
    <x:row r="30">
      <x:c r="A30" t="str">
        <x:v>ADS</x:v>
      </x:c>
      <x:c r="B30" t="str">
        <x:v>Non-listed</x:v>
      </x:c>
      <x:c r="C30" t="str">
        <x:v>Apollo</x:v>
      </x:c>
      <x:c r="D30" s="52" t="n">
        <x:v>8.75</x:v>
      </x:c>
      <x:c r="E30" s="52" t="n">
        <x:v>6</x:v>
      </x:c>
      <x:c r="F30" s="52" t="n">
        <x:v>13</x:v>
      </x:c>
      <x:c r="G30" t="str">
        <x:v>8,8,13,6</x:v>
      </x:c>
    </x:row>
    <x:row r="31">
      <x:c r="A31" t="str">
        <x:v>ASIF</x:v>
      </x:c>
      <x:c r="B31" t="str">
        <x:v>Non-listed</x:v>
      </x:c>
      <x:c r="C31" t="str">
        <x:v>Ares</x:v>
      </x:c>
      <x:c r="D31" s="52" t="n">
        <x:v>8.75</x:v>
      </x:c>
      <x:c r="E31" s="52" t="n">
        <x:v>6</x:v>
      </x:c>
      <x:c r="F31" s="52" t="n">
        <x:v>12</x:v>
      </x:c>
      <x:c r="G31" t="str">
        <x:v>6,10,12,7</x:v>
      </x:c>
    </x:row>
    <x:row r="32">
      <x:c r="A32" t="str">
        <x:v>BCRED</x:v>
      </x:c>
      <x:c r="B32" t="str">
        <x:v>Non-listed</x:v>
      </x:c>
      <x:c r="C32" t="str">
        <x:v>Blackstone</x:v>
      </x:c>
      <x:c r="D32" s="52" t="n">
        <x:v>10.5</x:v>
      </x:c>
      <x:c r="E32" s="52" t="n">
        <x:v>8</x:v>
      </x:c>
      <x:c r="F32" s="52" t="n">
        <x:v>15</x:v>
      </x:c>
      <x:c r="G32" t="str">
        <x:v>10,9,15,8</x:v>
      </x:c>
    </x:row>
  </x:sheetData>
  <x:mergeCells>
    <x:mergeCell ref="A1:P1"/>
    <x:mergeCell ref="A2:P2"/>
    <x:mergeCell ref="A11:G11"/>
  </x:mergeCells>
  <x:conditionalFormatting sqref="E5:E8">
    <x:cfRule type="dataBar" priority="1">
      <x:dataBar>
        <x:cfvo type="min"/>
        <x:cfvo type="max"/>
        <x:color rgb="FF5B9BD5"/>
      </x:dataBar>
      <x:extLst>
        <x:ext xmlns:x14="http://schemas.microsoft.com/office/spreadsheetml/2009/9/main" uri="{B025F937-C7B1-47D3-B67F-A62EFF666E3E}">
          <x14:id>{203135E6-3FFA-FA20-90C3-8E8B049843D7}</x14:id>
        </x:ext>
      </x:extLst>
    </x:cfRule>
  </x:conditionalFormatting>
  <x:conditionalFormatting sqref="K5:N8">
    <x:cfRule type="colorScale" priority="2">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a49f33ea66ca4cc3"/>
  <x:tableParts count="2">
    <x:tablePart xmlns:r="http://schemas.openxmlformats.org/officeDocument/2006/relationships" r:id="R04aad03bdb46477d"/>
    <x:tablePart xmlns:r="http://schemas.openxmlformats.org/officeDocument/2006/relationships" r:id="R8d197f289dc14fb4"/>
  </x:tableParts>
  <x:extLst>
    <x:ext xmlns:x14="http://schemas.microsoft.com/office/spreadsheetml/2009/9/main" xmlns:xm="http://schemas.microsoft.com/office/excel/2006/main" uri="{78C0D931-6437-407d-A8EE-F0AAD7539E65}">
      <x14:conditionalFormattings>
        <x14:conditionalFormatting>
          <x14:cfRule type="dataBar" priority="1" id="{203135E6-3FFA-FA20-90C3-8E8B049843D7}">
            <x14:dataBar gradient="1">
              <x14:cfvo type="min"/>
              <x14:cfvo type="max"/>
              <x14:fillColor rgb="FF5B9BD5"/>
            </x14:dataBar>
          </x14:cfRule>
          <xm:sqref>E5:E8</xm:sqref>
        </x14:conditionalFormatting>
      </x14:conditionalFormattings>
    </x:ext>
  </x:extLst>
</x:worksheet>
</file>

<file path=xl/worksheets/sheet7.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3" hidden="0" customWidth="1"/>
    <x:col min="5" max="5" width="13" hidden="0" customWidth="1"/>
    <x:col min="6" max="6" width="12" hidden="0" customWidth="1"/>
    <x:col min="7" max="7" width="20" hidden="0" customWidth="1"/>
    <x:col min="8" max="8" width="20" hidden="0" customWidth="1"/>
    <x:col min="9" max="9" width="16" hidden="0" customWidth="1"/>
    <x:col min="10" max="10" width="16" hidden="0" customWidth="1"/>
    <x:col min="11" max="11" width="36" hidden="0" customWidth="1"/>
    <x:col min="12" max="12" width="36" hidden="0" customWidth="1"/>
  </x:cols>
  <x:sheetData>
    <x:row r="1">
      <x:c r="A1" s="15" t="str">
        <x:v>ShadowNAV — non-listed source → listed target structural windows ≥3 days</x:v>
      </x:c>
      <x:c r="B1" s="15"/>
      <x:c r="C1" s="15"/>
      <x:c r="D1" s="15"/>
      <x:c r="E1" s="15"/>
      <x:c r="F1" s="15"/>
      <x:c r="G1" s="15"/>
      <x:c r="H1" s="15"/>
      <x:c r="I1" s="15"/>
      <x:c r="J1" s="15"/>
      <x:c r="K1" s="15"/>
      <x:c r="L1" s="15"/>
    </x:row>
    <x:row r="2">
      <x:c r="A2" s="24" t="str">
        <x:v>Day 1 finding: такие окна существуют, но non-listed источники обычно НЕ самые ранние. Каждая строка должна пройти exact-facility matching; пока это только shortlist.</x:v>
      </x:c>
      <x:c r="B2" s="24"/>
      <x:c r="C2" s="24"/>
      <x:c r="D2" s="24"/>
      <x:c r="E2" s="24"/>
      <x:c r="F2" s="24"/>
      <x:c r="G2" s="24"/>
      <x:c r="H2" s="24"/>
      <x:c r="I2" s="24"/>
      <x:c r="J2" s="24"/>
      <x:c r="K2" s="24"/>
      <x:c r="L2" s="24"/>
    </x:row>
    <x:row r="4">
      <x:c r="A4" s="6" t="str">
        <x:v>Period</x:v>
      </x:c>
      <x:c r="B4" s="6" t="str">
        <x:v>Source</x:v>
      </x:c>
      <x:c r="C4" s="6" t="str">
        <x:v>Target</x:v>
      </x:c>
      <x:c r="D4" s="6" t="str">
        <x:v>Source date</x:v>
      </x:c>
      <x:c r="E4" s="6" t="str">
        <x:v>Target date</x:v>
      </x:c>
      <x:c r="F4" s="6" t="str">
        <x:v>Window (days)</x:v>
      </x:c>
      <x:c r="G4" s="6" t="str">
        <x:v>Source manager</x:v>
      </x:c>
      <x:c r="H4" s="6" t="str">
        <x:v>Target manager</x:v>
      </x:c>
      <x:c r="I4" s="6" t="str">
        <x:v>Shared borrower?</x:v>
      </x:c>
      <x:c r="J4" s="6" t="str">
        <x:v>Exact facility?</x:v>
      </x:c>
      <x:c r="K4" s="6" t="str">
        <x:v>Evidence / facility</x:v>
      </x:c>
      <x:c r="L4" s="6" t="str">
        <x:v>Review note</x:v>
      </x:c>
    </x:row>
    <x:row r="5">
      <x:c r="A5" s="20" t="str">
        <x:v>2025Q2</x:v>
      </x:c>
      <x:c r="B5" s="20" t="str">
        <x:v>OCIC</x:v>
      </x:c>
      <x:c r="C5" s="20" t="str">
        <x:v>MFIC</x:v>
      </x:c>
      <x:c r="D5" s="40" t="n">
        <x:v>45876</x:v>
      </x:c>
      <x:c r="E5" s="40" t="n">
        <x:v>45880</x:v>
      </x:c>
      <x:c r="F5" s="41" t="n">
        <x:v>4</x:v>
      </x:c>
      <x:c r="G5" s="20" t="str">
        <x:v>Blue Owl</x:v>
      </x:c>
      <x:c r="H5" s="20" t="str">
        <x:v>MidCap / Apollo</x:v>
      </x:c>
      <x:c r="I5" s="56" t="str">
        <x:v>Не проверено</x:v>
      </x:c>
      <x:c r="J5" s="56" t="str">
        <x:v>Не проверено</x:v>
      </x:c>
      <x:c r="K5" s="56" t="str"/>
      <x:c r="L5" s="56" t="str"/>
    </x:row>
    <x:row r="6">
      <x:c r="A6" s="20" t="str">
        <x:v>2025Q2</x:v>
      </x:c>
      <x:c r="B6" s="20" t="str">
        <x:v>ADS</x:v>
      </x:c>
      <x:c r="C6" s="20" t="str">
        <x:v>MFIC</x:v>
      </x:c>
      <x:c r="D6" s="40" t="n">
        <x:v>45877</x:v>
      </x:c>
      <x:c r="E6" s="40" t="n">
        <x:v>45880</x:v>
      </x:c>
      <x:c r="F6" s="41" t="n">
        <x:v>3</x:v>
      </x:c>
      <x:c r="G6" s="20" t="str">
        <x:v>Apollo</x:v>
      </x:c>
      <x:c r="H6" s="20" t="str">
        <x:v>MidCap / Apollo</x:v>
      </x:c>
      <x:c r="I6" s="56" t="str">
        <x:v>Не проверено</x:v>
      </x:c>
      <x:c r="J6" s="56" t="str">
        <x:v>Не проверено</x:v>
      </x:c>
      <x:c r="K6" s="56" t="str"/>
      <x:c r="L6" s="56" t="str"/>
    </x:row>
    <x:row r="7">
      <x:c r="A7" s="20" t="str">
        <x:v>2025Q2</x:v>
      </x:c>
      <x:c r="B7" s="20" t="str">
        <x:v>ASIF</x:v>
      </x:c>
      <x:c r="C7" s="20" t="str">
        <x:v>MFIC</x:v>
      </x:c>
      <x:c r="D7" s="40" t="n">
        <x:v>45875</x:v>
      </x:c>
      <x:c r="E7" s="40" t="n">
        <x:v>45880</x:v>
      </x:c>
      <x:c r="F7" s="41" t="n">
        <x:v>5</x:v>
      </x:c>
      <x:c r="G7" s="20" t="str">
        <x:v>Ares</x:v>
      </x:c>
      <x:c r="H7" s="20" t="str">
        <x:v>MidCap / Apollo</x:v>
      </x:c>
      <x:c r="I7" s="56" t="str">
        <x:v>Не проверено</x:v>
      </x:c>
      <x:c r="J7" s="56" t="str">
        <x:v>Не проверено</x:v>
      </x:c>
      <x:c r="K7" s="56" t="str"/>
      <x:c r="L7" s="56" t="str"/>
    </x:row>
    <x:row r="8">
      <x:c r="A8" s="20" t="str">
        <x:v>2025Q3</x:v>
      </x:c>
      <x:c r="B8" s="20" t="str">
        <x:v>BCRED</x:v>
      </x:c>
      <x:c r="C8" s="20" t="str">
        <x:v>GBDC</x:v>
      </x:c>
      <x:c r="D8" s="40" t="n">
        <x:v>45974</x:v>
      </x:c>
      <x:c r="E8" s="40" t="n">
        <x:v>45979</x:v>
      </x:c>
      <x:c r="F8" s="41" t="n">
        <x:v>5</x:v>
      </x:c>
      <x:c r="G8" s="20" t="str">
        <x:v>Blackstone</x:v>
      </x:c>
      <x:c r="H8" s="20" t="str">
        <x:v>Golub Capital</x:v>
      </x:c>
      <x:c r="I8" s="56" t="str">
        <x:v>Не проверено</x:v>
      </x:c>
      <x:c r="J8" s="56" t="str">
        <x:v>Не проверено</x:v>
      </x:c>
      <x:c r="K8" s="56" t="str"/>
      <x:c r="L8" s="56" t="str"/>
    </x:row>
    <x:row r="9">
      <x:c r="A9" s="20" t="str">
        <x:v>2025Q3</x:v>
      </x:c>
      <x:c r="B9" s="20" t="str">
        <x:v>BCRED</x:v>
      </x:c>
      <x:c r="C9" s="20" t="str">
        <x:v>OCSL</x:v>
      </x:c>
      <x:c r="D9" s="40" t="n">
        <x:v>45974</x:v>
      </x:c>
      <x:c r="E9" s="40" t="n">
        <x:v>45979</x:v>
      </x:c>
      <x:c r="F9" s="41" t="n">
        <x:v>5</x:v>
      </x:c>
      <x:c r="G9" s="20" t="str">
        <x:v>Blackstone</x:v>
      </x:c>
      <x:c r="H9" s="20" t="str">
        <x:v>Oaktree</x:v>
      </x:c>
      <x:c r="I9" s="56" t="str">
        <x:v>Не проверено</x:v>
      </x:c>
      <x:c r="J9" s="56" t="str">
        <x:v>Не проверено</x:v>
      </x:c>
      <x:c r="K9" s="56" t="str"/>
      <x:c r="L9" s="56" t="str"/>
    </x:row>
    <x:row r="10">
      <x:c r="A10" s="20" t="str">
        <x:v>2025Q3</x:v>
      </x:c>
      <x:c r="B10" s="20" t="str">
        <x:v>OCIC</x:v>
      </x:c>
      <x:c r="C10" s="20" t="str">
        <x:v>BXSL</x:v>
      </x:c>
      <x:c r="D10" s="40" t="n">
        <x:v>45967</x:v>
      </x:c>
      <x:c r="E10" s="40" t="n">
        <x:v>45971</x:v>
      </x:c>
      <x:c r="F10" s="41" t="n">
        <x:v>4</x:v>
      </x:c>
      <x:c r="G10" s="20" t="str">
        <x:v>Blue Owl</x:v>
      </x:c>
      <x:c r="H10" s="20" t="str">
        <x:v>Blackstone</x:v>
      </x:c>
      <x:c r="I10" s="56" t="str">
        <x:v>Не проверено</x:v>
      </x:c>
      <x:c r="J10" s="56" t="str">
        <x:v>Не проверено</x:v>
      </x:c>
      <x:c r="K10" s="56" t="str"/>
      <x:c r="L10" s="56" t="str"/>
    </x:row>
    <x:row r="11">
      <x:c r="A11" s="20" t="str">
        <x:v>2025Q3</x:v>
      </x:c>
      <x:c r="B11" s="20" t="str">
        <x:v>OCIC</x:v>
      </x:c>
      <x:c r="C11" s="20" t="str">
        <x:v>GBDC</x:v>
      </x:c>
      <x:c r="D11" s="40" t="n">
        <x:v>45967</x:v>
      </x:c>
      <x:c r="E11" s="40" t="n">
        <x:v>45979</x:v>
      </x:c>
      <x:c r="F11" s="41" t="n">
        <x:v>12</x:v>
      </x:c>
      <x:c r="G11" s="20" t="str">
        <x:v>Blue Owl</x:v>
      </x:c>
      <x:c r="H11" s="20" t="str">
        <x:v>Golub Capital</x:v>
      </x:c>
      <x:c r="I11" s="56" t="str">
        <x:v>Не проверено</x:v>
      </x:c>
      <x:c r="J11" s="56" t="str">
        <x:v>Не проверено</x:v>
      </x:c>
      <x:c r="K11" s="56" t="str"/>
      <x:c r="L11" s="56" t="str"/>
    </x:row>
    <x:row r="12">
      <x:c r="A12" s="20" t="str">
        <x:v>2025Q3</x:v>
      </x:c>
      <x:c r="B12" s="20" t="str">
        <x:v>OCIC</x:v>
      </x:c>
      <x:c r="C12" s="20" t="str">
        <x:v>OCSL</x:v>
      </x:c>
      <x:c r="D12" s="40" t="n">
        <x:v>45967</x:v>
      </x:c>
      <x:c r="E12" s="40" t="n">
        <x:v>45979</x:v>
      </x:c>
      <x:c r="F12" s="41" t="n">
        <x:v>12</x:v>
      </x:c>
      <x:c r="G12" s="20" t="str">
        <x:v>Blue Owl</x:v>
      </x:c>
      <x:c r="H12" s="20" t="str">
        <x:v>Oaktree</x:v>
      </x:c>
      <x:c r="I12" s="56" t="str">
        <x:v>Не проверено</x:v>
      </x:c>
      <x:c r="J12" s="56" t="str">
        <x:v>Не проверено</x:v>
      </x:c>
      <x:c r="K12" s="56" t="str"/>
      <x:c r="L12" s="56" t="str"/>
    </x:row>
    <x:row r="13">
      <x:c r="A13" s="20" t="str">
        <x:v>2025Q3</x:v>
      </x:c>
      <x:c r="B13" s="20" t="str">
        <x:v>OCIC</x:v>
      </x:c>
      <x:c r="C13" s="20" t="str">
        <x:v>BCSF</x:v>
      </x:c>
      <x:c r="D13" s="40" t="n">
        <x:v>45967</x:v>
      </x:c>
      <x:c r="E13" s="40" t="n">
        <x:v>45971</x:v>
      </x:c>
      <x:c r="F13" s="41" t="n">
        <x:v>4</x:v>
      </x:c>
      <x:c r="G13" s="20" t="str">
        <x:v>Blue Owl</x:v>
      </x:c>
      <x:c r="H13" s="20" t="str">
        <x:v>Bain Capital</x:v>
      </x:c>
      <x:c r="I13" s="56" t="str">
        <x:v>Не проверено</x:v>
      </x:c>
      <x:c r="J13" s="56" t="str">
        <x:v>Не проверено</x:v>
      </x:c>
      <x:c r="K13" s="56" t="str"/>
      <x:c r="L13" s="56" t="str"/>
    </x:row>
    <x:row r="14">
      <x:c r="A14" s="20" t="str">
        <x:v>2025Q3</x:v>
      </x:c>
      <x:c r="B14" s="20" t="str">
        <x:v>ADS</x:v>
      </x:c>
      <x:c r="C14" s="20" t="str">
        <x:v>GBDC</x:v>
      </x:c>
      <x:c r="D14" s="40" t="n">
        <x:v>45973</x:v>
      </x:c>
      <x:c r="E14" s="40" t="n">
        <x:v>45979</x:v>
      </x:c>
      <x:c r="F14" s="41" t="n">
        <x:v>6</x:v>
      </x:c>
      <x:c r="G14" s="20" t="str">
        <x:v>Apollo</x:v>
      </x:c>
      <x:c r="H14" s="20" t="str">
        <x:v>Golub Capital</x:v>
      </x:c>
      <x:c r="I14" s="56" t="str">
        <x:v>Не проверено</x:v>
      </x:c>
      <x:c r="J14" s="56" t="str">
        <x:v>Не проверено</x:v>
      </x:c>
      <x:c r="K14" s="56" t="str"/>
      <x:c r="L14" s="56" t="str"/>
    </x:row>
    <x:row r="15">
      <x:c r="A15" s="20" t="str">
        <x:v>2025Q3</x:v>
      </x:c>
      <x:c r="B15" s="20" t="str">
        <x:v>ADS</x:v>
      </x:c>
      <x:c r="C15" s="20" t="str">
        <x:v>OCSL</x:v>
      </x:c>
      <x:c r="D15" s="40" t="n">
        <x:v>45973</x:v>
      </x:c>
      <x:c r="E15" s="40" t="n">
        <x:v>45979</x:v>
      </x:c>
      <x:c r="F15" s="41" t="n">
        <x:v>6</x:v>
      </x:c>
      <x:c r="G15" s="20" t="str">
        <x:v>Apollo</x:v>
      </x:c>
      <x:c r="H15" s="20" t="str">
        <x:v>Oaktree</x:v>
      </x:c>
      <x:c r="I15" s="56" t="str">
        <x:v>Не проверено</x:v>
      </x:c>
      <x:c r="J15" s="56" t="str">
        <x:v>Не проверено</x:v>
      </x:c>
      <x:c r="K15" s="56" t="str"/>
      <x:c r="L15" s="56" t="str"/>
    </x:row>
    <x:row r="16">
      <x:c r="A16" s="20" t="str">
        <x:v>2025Q3</x:v>
      </x:c>
      <x:c r="B16" s="20" t="str">
        <x:v>ASIF</x:v>
      </x:c>
      <x:c r="C16" s="20" t="str">
        <x:v>GBDC</x:v>
      </x:c>
      <x:c r="D16" s="40" t="n">
        <x:v>45975</x:v>
      </x:c>
      <x:c r="E16" s="40" t="n">
        <x:v>45979</x:v>
      </x:c>
      <x:c r="F16" s="41" t="n">
        <x:v>4</x:v>
      </x:c>
      <x:c r="G16" s="20" t="str">
        <x:v>Ares</x:v>
      </x:c>
      <x:c r="H16" s="20" t="str">
        <x:v>Golub Capital</x:v>
      </x:c>
      <x:c r="I16" s="56" t="str">
        <x:v>Не проверено</x:v>
      </x:c>
      <x:c r="J16" s="56" t="str">
        <x:v>Не проверено</x:v>
      </x:c>
      <x:c r="K16" s="56" t="str"/>
      <x:c r="L16" s="56" t="str"/>
    </x:row>
    <x:row r="17">
      <x:c r="A17" s="20" t="str">
        <x:v>2025Q3</x:v>
      </x:c>
      <x:c r="B17" s="20" t="str">
        <x:v>ASIF</x:v>
      </x:c>
      <x:c r="C17" s="20" t="str">
        <x:v>OCSL</x:v>
      </x:c>
      <x:c r="D17" s="40" t="n">
        <x:v>45975</x:v>
      </x:c>
      <x:c r="E17" s="40" t="n">
        <x:v>45979</x:v>
      </x:c>
      <x:c r="F17" s="41" t="n">
        <x:v>4</x:v>
      </x:c>
      <x:c r="G17" s="20" t="str">
        <x:v>Ares</x:v>
      </x:c>
      <x:c r="H17" s="20" t="str">
        <x:v>Oaktree</x:v>
      </x:c>
      <x:c r="I17" s="56" t="str">
        <x:v>Не проверено</x:v>
      </x:c>
      <x:c r="J17" s="56" t="str">
        <x:v>Не проверено</x:v>
      </x:c>
      <x:c r="K17" s="56" t="str"/>
      <x:c r="L17" s="56" t="str"/>
    </x:row>
    <x:row r="18">
      <x:c r="A18" s="20" t="str">
        <x:v>2025Q4</x:v>
      </x:c>
      <x:c r="B18" s="20" t="str">
        <x:v>OCIC</x:v>
      </x:c>
      <x:c r="C18" s="20" t="str">
        <x:v>CION</x:v>
      </x:c>
      <x:c r="D18" s="40" t="n">
        <x:v>46084</x:v>
      </x:c>
      <x:c r="E18" s="40" t="n">
        <x:v>46093</x:v>
      </x:c>
      <x:c r="F18" s="41" t="n">
        <x:v>9</x:v>
      </x:c>
      <x:c r="G18" s="20" t="str">
        <x:v>Blue Owl</x:v>
      </x:c>
      <x:c r="H18" s="20" t="str">
        <x:v>CION Investment Management</x:v>
      </x:c>
      <x:c r="I18" s="56" t="str">
        <x:v>Не проверено</x:v>
      </x:c>
      <x:c r="J18" s="56" t="str">
        <x:v>Не проверено</x:v>
      </x:c>
      <x:c r="K18" s="56" t="str"/>
      <x:c r="L18" s="56" t="str"/>
    </x:row>
    <x:row r="19">
      <x:c r="A19" s="20" t="str">
        <x:v>2025Q4</x:v>
      </x:c>
      <x:c r="B19" s="20" t="str">
        <x:v>ASIF</x:v>
      </x:c>
      <x:c r="C19" s="20" t="str">
        <x:v>CION</x:v>
      </x:c>
      <x:c r="D19" s="40" t="n">
        <x:v>46090</x:v>
      </x:c>
      <x:c r="E19" s="40" t="n">
        <x:v>46093</x:v>
      </x:c>
      <x:c r="F19" s="41" t="n">
        <x:v>3</x:v>
      </x:c>
      <x:c r="G19" s="20" t="str">
        <x:v>Ares</x:v>
      </x:c>
      <x:c r="H19" s="20" t="str">
        <x:v>CION Investment Management</x:v>
      </x:c>
      <x:c r="I19" s="56" t="str">
        <x:v>Не проверено</x:v>
      </x:c>
      <x:c r="J19" s="56" t="str">
        <x:v>Не проверено</x:v>
      </x:c>
      <x:c r="K19" s="56" t="str"/>
      <x:c r="L19" s="56" t="str"/>
    </x:row>
    <x:row r="20">
      <x:c r="A20" s="20" t="str">
        <x:v>2025Q4</x:v>
      </x:c>
      <x:c r="B20" s="20" t="str">
        <x:v>GCP</x:v>
      </x:c>
      <x:c r="C20" s="20" t="str">
        <x:v>FSK</x:v>
      </x:c>
      <x:c r="D20" s="40" t="n">
        <x:v>46065</x:v>
      </x:c>
      <x:c r="E20" s="40" t="n">
        <x:v>46078</x:v>
      </x:c>
      <x:c r="F20" s="41" t="n">
        <x:v>13</x:v>
      </x:c>
      <x:c r="G20" s="20" t="str">
        <x:v>Golub Capital</x:v>
      </x:c>
      <x:c r="H20" s="20" t="str">
        <x:v>FS Investments / KKR</x:v>
      </x:c>
      <x:c r="I20" s="56" t="str">
        <x:v>Не проверено</x:v>
      </x:c>
      <x:c r="J20" s="56" t="str">
        <x:v>Не проверено</x:v>
      </x:c>
      <x:c r="K20" s="56" t="str"/>
      <x:c r="L20" s="56" t="str"/>
    </x:row>
    <x:row r="21">
      <x:c r="A21" s="20" t="str">
        <x:v>2025Q4</x:v>
      </x:c>
      <x:c r="B21" s="20" t="str">
        <x:v>GCP</x:v>
      </x:c>
      <x:c r="C21" s="20" t="str">
        <x:v>OBDC</x:v>
      </x:c>
      <x:c r="D21" s="40" t="n">
        <x:v>46065</x:v>
      </x:c>
      <x:c r="E21" s="40" t="n">
        <x:v>46071</x:v>
      </x:c>
      <x:c r="F21" s="41" t="n">
        <x:v>6</x:v>
      </x:c>
      <x:c r="G21" s="20" t="str">
        <x:v>Golub Capital</x:v>
      </x:c>
      <x:c r="H21" s="20" t="str">
        <x:v>Blue Owl</x:v>
      </x:c>
      <x:c r="I21" s="56" t="str">
        <x:v>Не проверено</x:v>
      </x:c>
      <x:c r="J21" s="56" t="str">
        <x:v>Не проверено</x:v>
      </x:c>
      <x:c r="K21" s="56" t="str"/>
      <x:c r="L21" s="56" t="str"/>
    </x:row>
    <x:row r="22">
      <x:c r="A22" s="20" t="str">
        <x:v>2025Q4</x:v>
      </x:c>
      <x:c r="B22" s="20" t="str">
        <x:v>GCP</x:v>
      </x:c>
      <x:c r="C22" s="20" t="str">
        <x:v>BXSL</x:v>
      </x:c>
      <x:c r="D22" s="40" t="n">
        <x:v>46065</x:v>
      </x:c>
      <x:c r="E22" s="40" t="n">
        <x:v>46078</x:v>
      </x:c>
      <x:c r="F22" s="41" t="n">
        <x:v>13</x:v>
      </x:c>
      <x:c r="G22" s="20" t="str">
        <x:v>Golub Capital</x:v>
      </x:c>
      <x:c r="H22" s="20" t="str">
        <x:v>Blackstone</x:v>
      </x:c>
      <x:c r="I22" s="56" t="str">
        <x:v>Не проверено</x:v>
      </x:c>
      <x:c r="J22" s="56" t="str">
        <x:v>Не проверено</x:v>
      </x:c>
      <x:c r="K22" s="56" t="str"/>
      <x:c r="L22" s="56" t="str"/>
    </x:row>
    <x:row r="23">
      <x:c r="A23" s="20" t="str">
        <x:v>2025Q4</x:v>
      </x:c>
      <x:c r="B23" s="20" t="str">
        <x:v>GCP</x:v>
      </x:c>
      <x:c r="C23" s="20" t="str">
        <x:v>MAIN</x:v>
      </x:c>
      <x:c r="D23" s="40" t="n">
        <x:v>46065</x:v>
      </x:c>
      <x:c r="E23" s="40" t="n">
        <x:v>46077</x:v>
      </x:c>
      <x:c r="F23" s="41" t="n">
        <x:v>12</x:v>
      </x:c>
      <x:c r="G23" s="20" t="str">
        <x:v>Golub Capital</x:v>
      </x:c>
      <x:c r="H23" s="20" t="str">
        <x:v>Main Street</x:v>
      </x:c>
      <x:c r="I23" s="56" t="str">
        <x:v>Не проверено</x:v>
      </x:c>
      <x:c r="J23" s="56" t="str">
        <x:v>Не проверено</x:v>
      </x:c>
      <x:c r="K23" s="56" t="str"/>
      <x:c r="L23" s="56" t="str"/>
    </x:row>
    <x:row r="24">
      <x:c r="A24" s="20" t="str">
        <x:v>2025Q4</x:v>
      </x:c>
      <x:c r="B24" s="20" t="str">
        <x:v>GCP</x:v>
      </x:c>
      <x:c r="C24" s="20" t="str">
        <x:v>CGBD</x:v>
      </x:c>
      <x:c r="D24" s="40" t="n">
        <x:v>46065</x:v>
      </x:c>
      <x:c r="E24" s="40" t="n">
        <x:v>46076</x:v>
      </x:c>
      <x:c r="F24" s="41" t="n">
        <x:v>11</x:v>
      </x:c>
      <x:c r="G24" s="20" t="str">
        <x:v>Golub Capital</x:v>
      </x:c>
      <x:c r="H24" s="20" t="str">
        <x:v>Carlyle</x:v>
      </x:c>
      <x:c r="I24" s="56" t="str">
        <x:v>Не проверено</x:v>
      </x:c>
      <x:c r="J24" s="56" t="str">
        <x:v>Не проверено</x:v>
      </x:c>
      <x:c r="K24" s="56" t="str"/>
      <x:c r="L24" s="56" t="str"/>
    </x:row>
    <x:row r="25">
      <x:c r="A25" s="20" t="str">
        <x:v>2025Q4</x:v>
      </x:c>
      <x:c r="B25" s="20" t="str">
        <x:v>GCP</x:v>
      </x:c>
      <x:c r="C25" s="20" t="str">
        <x:v>MFIC</x:v>
      </x:c>
      <x:c r="D25" s="40" t="n">
        <x:v>46065</x:v>
      </x:c>
      <x:c r="E25" s="40" t="n">
        <x:v>46079</x:v>
      </x:c>
      <x:c r="F25" s="41" t="n">
        <x:v>14</x:v>
      </x:c>
      <x:c r="G25" s="20" t="str">
        <x:v>Golub Capital</x:v>
      </x:c>
      <x:c r="H25" s="20" t="str">
        <x:v>MidCap / Apollo</x:v>
      </x:c>
      <x:c r="I25" s="56" t="str">
        <x:v>Не проверено</x:v>
      </x:c>
      <x:c r="J25" s="56" t="str">
        <x:v>Не проверено</x:v>
      </x:c>
      <x:c r="K25" s="56" t="str"/>
      <x:c r="L25" s="56" t="str"/>
    </x:row>
    <x:row r="26">
      <x:c r="A26" s="20" t="str">
        <x:v>2025Q4</x:v>
      </x:c>
      <x:c r="B26" s="20" t="str">
        <x:v>GCP</x:v>
      </x:c>
      <x:c r="C26" s="20" t="str">
        <x:v>NMFC</x:v>
      </x:c>
      <x:c r="D26" s="40" t="n">
        <x:v>46065</x:v>
      </x:c>
      <x:c r="E26" s="40" t="n">
        <x:v>46077</x:v>
      </x:c>
      <x:c r="F26" s="41" t="n">
        <x:v>12</x:v>
      </x:c>
      <x:c r="G26" s="20" t="str">
        <x:v>Golub Capital</x:v>
      </x:c>
      <x:c r="H26" s="20" t="str">
        <x:v>New Mountain</x:v>
      </x:c>
      <x:c r="I26" s="56" t="str">
        <x:v>Не проверено</x:v>
      </x:c>
      <x:c r="J26" s="56" t="str">
        <x:v>Не проверено</x:v>
      </x:c>
      <x:c r="K26" s="56" t="str"/>
      <x:c r="L26" s="56" t="str"/>
    </x:row>
    <x:row r="27">
      <x:c r="A27" s="20" t="str">
        <x:v>2025Q4</x:v>
      </x:c>
      <x:c r="B27" s="20" t="str">
        <x:v>GCP</x:v>
      </x:c>
      <x:c r="C27" s="20" t="str">
        <x:v>BCSF</x:v>
      </x:c>
      <x:c r="D27" s="40" t="n">
        <x:v>46065</x:v>
      </x:c>
      <x:c r="E27" s="40" t="n">
        <x:v>46080</x:v>
      </x:c>
      <x:c r="F27" s="41" t="n">
        <x:v>15</x:v>
      </x:c>
      <x:c r="G27" s="20" t="str">
        <x:v>Golub Capital</x:v>
      </x:c>
      <x:c r="H27" s="20" t="str">
        <x:v>Bain Capital</x:v>
      </x:c>
      <x:c r="I27" s="56" t="str">
        <x:v>Не проверено</x:v>
      </x:c>
      <x:c r="J27" s="56" t="str">
        <x:v>Не проверено</x:v>
      </x:c>
      <x:c r="K27" s="56" t="str"/>
      <x:c r="L27" s="56" t="str"/>
    </x:row>
    <x:row r="28">
      <x:c r="A28" s="20" t="str">
        <x:v>2025Q4</x:v>
      </x:c>
      <x:c r="B28" s="20" t="str">
        <x:v>GCP</x:v>
      </x:c>
      <x:c r="C28" s="20" t="str">
        <x:v>CION</x:v>
      </x:c>
      <x:c r="D28" s="40" t="n">
        <x:v>46065</x:v>
      </x:c>
      <x:c r="E28" s="40" t="n">
        <x:v>46093</x:v>
      </x:c>
      <x:c r="F28" s="41" t="n">
        <x:v>28</x:v>
      </x:c>
      <x:c r="G28" s="20" t="str">
        <x:v>Golub Capital</x:v>
      </x:c>
      <x:c r="H28" s="20" t="str">
        <x:v>CION Investment Management</x:v>
      </x:c>
      <x:c r="I28" s="56" t="str">
        <x:v>Не проверено</x:v>
      </x:c>
      <x:c r="J28" s="56" t="str">
        <x:v>Не проверено</x:v>
      </x:c>
      <x:c r="K28" s="56" t="str"/>
      <x:c r="L28" s="56" t="str"/>
    </x:row>
    <x:row r="29">
      <x:c r="A29" s="20" t="str">
        <x:v>2026Q1</x:v>
      </x:c>
      <x:c r="B29" s="20" t="str">
        <x:v>BCRED</x:v>
      </x:c>
      <x:c r="C29" s="20" t="str">
        <x:v>CSWC</x:v>
      </x:c>
      <x:c r="D29" s="40" t="n">
        <x:v>46156</x:v>
      </x:c>
      <x:c r="E29" s="40" t="n">
        <x:v>46161</x:v>
      </x:c>
      <x:c r="F29" s="41" t="n">
        <x:v>5</x:v>
      </x:c>
      <x:c r="G29" s="20" t="str">
        <x:v>Blackstone</x:v>
      </x:c>
      <x:c r="H29" s="20" t="str">
        <x:v>Capital Southwest</x:v>
      </x:c>
      <x:c r="I29" s="56" t="str">
        <x:v>Не проверено</x:v>
      </x:c>
      <x:c r="J29" s="56" t="str">
        <x:v>Не проверено</x:v>
      </x:c>
      <x:c r="K29" s="56" t="str"/>
      <x:c r="L29" s="56" t="str"/>
    </x:row>
    <x:row r="30">
      <x:c r="A30" s="20" t="str">
        <x:v>2026Q1</x:v>
      </x:c>
      <x:c r="B30" s="20" t="str">
        <x:v>OCIC</x:v>
      </x:c>
      <x:c r="C30" s="20" t="str">
        <x:v>CSWC</x:v>
      </x:c>
      <x:c r="D30" s="40" t="n">
        <x:v>46153</x:v>
      </x:c>
      <x:c r="E30" s="40" t="n">
        <x:v>46161</x:v>
      </x:c>
      <x:c r="F30" s="41" t="n">
        <x:v>8</x:v>
      </x:c>
      <x:c r="G30" s="20" t="str">
        <x:v>Blue Owl</x:v>
      </x:c>
      <x:c r="H30" s="20" t="str">
        <x:v>Capital Southwest</x:v>
      </x:c>
      <x:c r="I30" s="56" t="str">
        <x:v>Не проверено</x:v>
      </x:c>
      <x:c r="J30" s="56" t="str">
        <x:v>Не проверено</x:v>
      </x:c>
      <x:c r="K30" s="56" t="str"/>
      <x:c r="L30" s="56" t="str"/>
    </x:row>
    <x:row r="31">
      <x:c r="A31" s="20" t="str">
        <x:v>2026Q1</x:v>
      </x:c>
      <x:c r="B31" s="20" t="str">
        <x:v>ADS</x:v>
      </x:c>
      <x:c r="C31" s="20" t="str">
        <x:v>CSWC</x:v>
      </x:c>
      <x:c r="D31" s="40" t="n">
        <x:v>46153</x:v>
      </x:c>
      <x:c r="E31" s="40" t="n">
        <x:v>46161</x:v>
      </x:c>
      <x:c r="F31" s="41" t="n">
        <x:v>8</x:v>
      </x:c>
      <x:c r="G31" s="20" t="str">
        <x:v>Apollo</x:v>
      </x:c>
      <x:c r="H31" s="20" t="str">
        <x:v>Capital Southwest</x:v>
      </x:c>
      <x:c r="I31" s="56" t="str">
        <x:v>Не проверено</x:v>
      </x:c>
      <x:c r="J31" s="56" t="str">
        <x:v>Не проверено</x:v>
      </x:c>
      <x:c r="K31" s="56" t="str"/>
      <x:c r="L31" s="56" t="str"/>
    </x:row>
    <x:row r="32">
      <x:c r="A32" s="20" t="str">
        <x:v>2026Q1</x:v>
      </x:c>
      <x:c r="B32" s="20" t="str">
        <x:v>ASIF</x:v>
      </x:c>
      <x:c r="C32" s="20" t="str">
        <x:v>CSWC</x:v>
      </x:c>
      <x:c r="D32" s="40" t="n">
        <x:v>46154</x:v>
      </x:c>
      <x:c r="E32" s="40" t="n">
        <x:v>46161</x:v>
      </x:c>
      <x:c r="F32" s="41" t="n">
        <x:v>7</x:v>
      </x:c>
      <x:c r="G32" s="20" t="str">
        <x:v>Ares</x:v>
      </x:c>
      <x:c r="H32" s="20" t="str">
        <x:v>Capital Southwest</x:v>
      </x:c>
      <x:c r="I32" s="56" t="str">
        <x:v>Не проверено</x:v>
      </x:c>
      <x:c r="J32" s="56" t="str">
        <x:v>Не проверено</x:v>
      </x:c>
      <x:c r="K32" s="56" t="str"/>
      <x:c r="L32" s="56" t="str"/>
    </x:row>
    <x:row r="33">
      <x:c r="A33" s="20" t="str">
        <x:v>2026Q1</x:v>
      </x:c>
      <x:c r="B33" s="20" t="str">
        <x:v>GCP</x:v>
      </x:c>
      <x:c r="C33" s="20" t="str">
        <x:v>CSWC</x:v>
      </x:c>
      <x:c r="D33" s="40" t="n">
        <x:v>46154</x:v>
      </x:c>
      <x:c r="E33" s="40" t="n">
        <x:v>46161</x:v>
      </x:c>
      <x:c r="F33" s="41" t="n">
        <x:v>7</x:v>
      </x:c>
      <x:c r="G33" s="20" t="str">
        <x:v>Golub Capital</x:v>
      </x:c>
      <x:c r="H33" s="20" t="str">
        <x:v>Capital Southwest</x:v>
      </x:c>
      <x:c r="I33" s="56" t="str">
        <x:v>Не проверено</x:v>
      </x:c>
      <x:c r="J33" s="56" t="str">
        <x:v>Не проверено</x:v>
      </x:c>
      <x:c r="K33" s="56" t="str"/>
      <x:c r="L33" s="56" t="str"/>
    </x:row>
  </x:sheetData>
  <x:mergeCells>
    <x:mergeCell ref="A1:L1"/>
    <x:mergeCell ref="A2:L2"/>
  </x:mergeCells>
  <x:conditionalFormatting sqref="F5:F33">
    <x:cfRule type="dataBar" priority="1">
      <x:dataBar>
        <x:cfvo type="min"/>
        <x:cfvo type="max"/>
        <x:color rgb="FF70AD47"/>
      </x:dataBar>
      <x:extLst>
        <x:ext xmlns:x14="http://schemas.microsoft.com/office/spreadsheetml/2009/9/main" uri="{B025F937-C7B1-47D3-B67F-A62EFF666E3E}">
          <x14:id>{F391BCC2-9D6B-B219-06B1-7FE4A0C10C4C}</x14:id>
        </x:ext>
      </x:extLst>
    </x:cfRule>
  </x:conditionalFormatting>
  <x:dataValidations count="1">
    <x:dataValidation type="list" sqref="I5:J33">
      <x:formula1>"Не проверено,Да,Нет,Неясно"</x:formula1>
    </x:dataValidation>
  </x:dataValidations>
  <x:pageMargins left="0.7" right="0.7" top="0.75" bottom="0.75" header="0.3" footer="0.3"/>
  <x:tableParts count="1">
    <x:tablePart xmlns:r="http://schemas.openxmlformats.org/officeDocument/2006/relationships" r:id="R2dceeca68ca94b99"/>
  </x:tableParts>
  <x:extLst>
    <x:ext xmlns:x14="http://schemas.microsoft.com/office/spreadsheetml/2009/9/main" xmlns:xm="http://schemas.microsoft.com/office/excel/2006/main" uri="{78C0D931-6437-407d-A8EE-F0AAD7539E65}">
      <x14:conditionalFormattings>
        <x14:conditionalFormatting>
          <x14:cfRule type="dataBar" priority="1" id="{F391BCC2-9D6B-B219-06B1-7FE4A0C10C4C}">
            <x14:dataBar gradient="1">
              <x14:cfvo type="min"/>
              <x14:cfvo type="max"/>
              <x14:fillColor rgb="FF70AD47"/>
            </x14:dataBar>
          </x14:cfRule>
          <xm:sqref>F5:F33</xm:sqref>
        </x14:conditionalFormatting>
      </x14:conditionalFormattings>
    </x:ext>
  </x:extLst>
</x:worksheet>
</file>

<file path=xl/worksheets/sheet8.xml><?xml version="1.0" encoding="utf-8"?>
<x:worksheet xmlns:x="http://schemas.openxmlformats.org/spreadsheetml/2006/main">
  <x:sheetFormatPr defaultRowHeight="15"/>
  <x:cols>
    <x:col min="1" max="1" width="24" hidden="0" customWidth="1"/>
    <x:col min="2" max="2" width="48" hidden="0" customWidth="1"/>
    <x:col min="3" max="3" width="18" hidden="0" customWidth="1"/>
    <x:col min="4" max="4" width="24" hidden="0" customWidth="1"/>
    <x:col min="5" max="5" width="30" hidden="0" customWidth="1"/>
    <x:col min="7" max="7" width="10" hidden="0" customWidth="1"/>
    <x:col min="8" max="8" width="10" hidden="0" customWidth="1"/>
    <x:col min="9" max="9" width="10" hidden="0" customWidth="1"/>
    <x:col min="10" max="10" width="10" hidden="0" customWidth="1"/>
    <x:col min="11" max="11" width="22" hidden="0" customWidth="1"/>
    <x:col min="12" max="12" width="28" hidden="0" customWidth="1"/>
    <x:col min="13" max="13" width="12" hidden="0" customWidth="1"/>
    <x:col min="14" max="14" width="12" hidden="0" customWidth="1"/>
    <x:col min="15" max="15" width="12" hidden="0" customWidth="1"/>
    <x:col min="16" max="16" width="12" hidden="0" customWidth="1"/>
    <x:col min="17" max="17" width="16" hidden="0" customWidth="1"/>
    <x:col min="18" max="18" width="16" hidden="0" customWidth="1"/>
    <x:col min="19" max="19" width="14" hidden="0" customWidth="1"/>
  </x:cols>
  <x:sheetData>
    <x:row r="1">
      <x:c r="A1" s="15" t="str">
        <x:v>ShadowNAV — схема exact facility и ручной historical nowcast</x:v>
      </x:c>
      <x:c r="B1" s="15"/>
      <x:c r="C1" s="15"/>
      <x:c r="D1" s="15"/>
      <x:c r="E1" s="15"/>
      <x:c r="F1" s="15"/>
      <x:c r="G1" s="15"/>
      <x:c r="H1" s="15"/>
      <x:c r="I1" s="15"/>
      <x:c r="J1" s="15"/>
    </x:row>
    <x:row r="2">
      <x:c r="A2" s="24" t="str">
        <x:v>Единица анализа = facility/tranche, НЕ borrower. Сначала categorical flags (PIK / non-accrual), затем FV/par. Все жёлтые поля заполняются вручную или детерминированным парсером.</x:v>
      </x:c>
      <x:c r="B2" s="24"/>
      <x:c r="C2" s="24"/>
      <x:c r="D2" s="24"/>
      <x:c r="E2" s="24"/>
      <x:c r="F2" s="24"/>
      <x:c r="G2" s="24"/>
      <x:c r="H2" s="24"/>
      <x:c r="I2" s="24"/>
      <x:c r="J2" s="24"/>
    </x:row>
    <x:row r="4">
      <x:c r="A4" s="6" t="str">
        <x:v>Field</x:v>
      </x:c>
      <x:c r="B4" s="6" t="str">
        <x:v>Meaning</x:v>
      </x:c>
      <x:c r="C4" s="6" t="str">
        <x:v>Type / Unit</x:v>
      </x:c>
      <x:c r="D4" s="6" t="str">
        <x:v>Status</x:v>
      </x:c>
      <x:c r="E4" s="6" t="str">
        <x:v>Day 1 note</x:v>
      </x:c>
      <x:c r="G4" s="47" t="str">
        <x:v>Manual pilot — fill only after random sample is frozen</x:v>
      </x:c>
      <x:c r="H4" s="47"/>
      <x:c r="I4" s="47"/>
      <x:c r="J4" s="47"/>
      <x:c r="K4" s="47"/>
      <x:c r="L4" s="47"/>
      <x:c r="M4" s="47"/>
      <x:c r="N4" s="47"/>
      <x:c r="O4" s="47"/>
      <x:c r="P4" s="47"/>
    </x:row>
    <x:row r="5">
      <x:c r="A5" s="20" t="str">
        <x:v>event_id</x:v>
      </x:c>
      <x:c r="B5" s="20" t="str">
        <x:v>Unique source-target-quarter-facility key</x:v>
      </x:c>
      <x:c r="C5" s="20" t="str">
        <x:v>Text</x:v>
      </x:c>
      <x:c r="D5" s="20" t="str">
        <x:v>Required</x:v>
      </x:c>
      <x:c r="E5" s="20" t="str"/>
      <x:c r="G5" s="6" t="str">
        <x:v>Sample ID</x:v>
      </x:c>
      <x:c r="H5" s="6" t="str">
        <x:v>Period</x:v>
      </x:c>
      <x:c r="I5" s="6" t="str">
        <x:v>Source</x:v>
      </x:c>
      <x:c r="J5" s="6" t="str">
        <x:v>Target</x:v>
      </x:c>
      <x:c r="K5" s="6" t="str">
        <x:v>Borrower</x:v>
      </x:c>
      <x:c r="L5" s="6" t="str">
        <x:v>Facility</x:v>
      </x:c>
      <x:c r="M5" s="6" t="str">
        <x:v>Source mark</x:v>
      </x:c>
      <x:c r="N5" s="6" t="str">
        <x:v>Baseline</x:v>
      </x:c>
      <x:c r="O5" s="6" t="str">
        <x:v>Prediction</x:v>
      </x:c>
      <x:c r="P5" s="6" t="str">
        <x:v>Actual</x:v>
      </x:c>
      <x:c r="Q5" s="6" t="str">
        <x:v>Baseline abs error</x:v>
      </x:c>
      <x:c r="R5" s="6" t="str">
        <x:v>Model abs error</x:v>
      </x:c>
      <x:c r="S5" s="6" t="str">
        <x:v>Improvement</x:v>
      </x:c>
    </x:row>
    <x:row r="6">
      <x:c r="A6" s="20" t="str">
        <x:v>quarter_end</x:v>
      </x:c>
      <x:c r="B6" s="20" t="str">
        <x:v>Same economic measurement date</x:v>
      </x:c>
      <x:c r="C6" s="20" t="str">
        <x:v>Date</x:v>
      </x:c>
      <x:c r="D6" s="20" t="str">
        <x:v>Required</x:v>
      </x:c>
      <x:c r="E6" s="20" t="str"/>
      <x:c r="G6" s="60" t="str">
        <x:v>S01</x:v>
      </x:c>
      <x:c r="H6" s="60" t="str"/>
      <x:c r="I6" s="60" t="str"/>
      <x:c r="J6" s="60" t="str"/>
      <x:c r="K6" s="60" t="str"/>
      <x:c r="L6" s="60" t="str"/>
      <x:c r="M6" s="60" t="str"/>
      <x:c r="N6" s="60" t="str"/>
      <x:c r="O6" s="60" t="str"/>
      <x:c r="P6" s="60" t="str"/>
      <x:c r="Q6" s="62" t="str">
        <x:f>IF(OR(N6="",P6=""),"",ABS(N6-P6))</x:f>
      </x:c>
      <x:c r="R6" s="62" t="str">
        <x:f>IF(OR(O6="",P6=""),"",ABS(O6-P6))</x:f>
      </x:c>
      <x:c r="S6" s="64" t="str">
        <x:f>IF(OR(Q6="",R6="",Q6=0),"",1-R6/Q6)</x:f>
      </x:c>
    </x:row>
    <x:row r="7">
      <x:c r="A7" s="20" t="str">
        <x:v>source_accession</x:v>
      </x:c>
      <x:c r="B7" s="20" t="str">
        <x:v>SEC accession of early source</x:v>
      </x:c>
      <x:c r="C7" s="20" t="str">
        <x:v>Text</x:v>
      </x:c>
      <x:c r="D7" s="20" t="str">
        <x:v>Required</x:v>
      </x:c>
      <x:c r="E7" s="20" t="str"/>
      <x:c r="G7" s="60" t="str">
        <x:v>S02</x:v>
      </x:c>
      <x:c r="H7" s="60" t="str"/>
      <x:c r="I7" s="60" t="str"/>
      <x:c r="J7" s="60" t="str"/>
      <x:c r="K7" s="60" t="str"/>
      <x:c r="L7" s="60" t="str"/>
      <x:c r="M7" s="60" t="str"/>
      <x:c r="N7" s="60" t="str"/>
      <x:c r="O7" s="60" t="str"/>
      <x:c r="P7" s="60" t="str"/>
      <x:c r="Q7" s="62" t="str">
        <x:f>IF(OR(N7="",P7=""),"",ABS(N7-P7))</x:f>
      </x:c>
      <x:c r="R7" s="62" t="str">
        <x:f>IF(OR(O7="",P7=""),"",ABS(O7-P7))</x:f>
      </x:c>
      <x:c r="S7" s="64" t="str">
        <x:f>IF(OR(Q7="",R7="",Q7=0),"",1-R7/Q7)</x:f>
      </x:c>
    </x:row>
    <x:row r="8">
      <x:c r="A8" s="20" t="str">
        <x:v>source_acceptance_dt</x:v>
      </x:c>
      <x:c r="B8" s="20" t="str">
        <x:v>Information availability timestamp</x:v>
      </x:c>
      <x:c r="C8" s="20" t="str">
        <x:v>Datetime</x:v>
      </x:c>
      <x:c r="D8" s="20" t="str">
        <x:v>Required</x:v>
      </x:c>
      <x:c r="E8" s="20" t="str"/>
      <x:c r="G8" s="60" t="str">
        <x:v>S03</x:v>
      </x:c>
      <x:c r="H8" s="60" t="str"/>
      <x:c r="I8" s="60" t="str"/>
      <x:c r="J8" s="60" t="str"/>
      <x:c r="K8" s="60" t="str"/>
      <x:c r="L8" s="60" t="str"/>
      <x:c r="M8" s="60" t="str"/>
      <x:c r="N8" s="60" t="str"/>
      <x:c r="O8" s="60" t="str"/>
      <x:c r="P8" s="60" t="str"/>
      <x:c r="Q8" s="62" t="str">
        <x:f>IF(OR(N8="",P8=""),"",ABS(N8-P8))</x:f>
      </x:c>
      <x:c r="R8" s="62" t="str">
        <x:f>IF(OR(O8="",P8=""),"",ABS(O8-P8))</x:f>
      </x:c>
      <x:c r="S8" s="64" t="str">
        <x:f>IF(OR(Q8="",R8="",Q8=0),"",1-R8/Q8)</x:f>
      </x:c>
    </x:row>
    <x:row r="9">
      <x:c r="A9" s="20" t="str">
        <x:v>target_first_public_dt</x:v>
      </x:c>
      <x:c r="B9" s="20" t="str">
        <x:v>First target NAV/earnings disclosure, not merely 10-Q</x:v>
      </x:c>
      <x:c r="C9" s="20" t="str">
        <x:v>Datetime</x:v>
      </x:c>
      <x:c r="D9" s="20" t="str">
        <x:v>Required</x:v>
      </x:c>
      <x:c r="E9" s="20" t="str"/>
      <x:c r="G9" s="60" t="str">
        <x:v>S04</x:v>
      </x:c>
      <x:c r="H9" s="60" t="str"/>
      <x:c r="I9" s="60" t="str"/>
      <x:c r="J9" s="60" t="str"/>
      <x:c r="K9" s="60" t="str"/>
      <x:c r="L9" s="60" t="str"/>
      <x:c r="M9" s="60" t="str"/>
      <x:c r="N9" s="60" t="str"/>
      <x:c r="O9" s="60" t="str"/>
      <x:c r="P9" s="60" t="str"/>
      <x:c r="Q9" s="62" t="str">
        <x:f>IF(OR(N9="",P9=""),"",ABS(N9-P9))</x:f>
      </x:c>
      <x:c r="R9" s="62" t="str">
        <x:f>IF(OR(O9="",P9=""),"",ABS(O9-P9))</x:f>
      </x:c>
      <x:c r="S9" s="64" t="str">
        <x:f>IF(OR(Q9="",R9="",Q9=0),"",1-R9/Q9)</x:f>
      </x:c>
    </x:row>
    <x:row r="10">
      <x:c r="A10" s="20" t="str">
        <x:v>window_hours</x:v>
      </x:c>
      <x:c r="B10" s="20" t="str">
        <x:v>Target first public − source acceptance</x:v>
      </x:c>
      <x:c r="C10" s="20" t="str">
        <x:v>Formula</x:v>
      </x:c>
      <x:c r="D10" s="20" t="str">
        <x:v>Required</x:v>
      </x:c>
      <x:c r="E10" s="20" t="str"/>
      <x:c r="G10" s="60" t="str">
        <x:v>S05</x:v>
      </x:c>
      <x:c r="H10" s="60" t="str"/>
      <x:c r="I10" s="60" t="str"/>
      <x:c r="J10" s="60" t="str"/>
      <x:c r="K10" s="60" t="str"/>
      <x:c r="L10" s="60" t="str"/>
      <x:c r="M10" s="60" t="str"/>
      <x:c r="N10" s="60" t="str"/>
      <x:c r="O10" s="60" t="str"/>
      <x:c r="P10" s="60" t="str"/>
      <x:c r="Q10" s="62" t="str">
        <x:f>IF(OR(N10="",P10=""),"",ABS(N10-P10))</x:f>
      </x:c>
      <x:c r="R10" s="62" t="str">
        <x:f>IF(OR(O10="",P10=""),"",ABS(O10-P10))</x:f>
      </x:c>
      <x:c r="S10" s="64" t="str">
        <x:f>IF(OR(Q10="",R10="",Q10=0),"",1-R10/Q10)</x:f>
      </x:c>
    </x:row>
    <x:row r="11">
      <x:c r="A11" s="20" t="str">
        <x:v>source_bdc / target_bdc</x:v>
      </x:c>
      <x:c r="B11" s="20" t="str">
        <x:v>CIK + ticker</x:v>
      </x:c>
      <x:c r="C11" s="20" t="str">
        <x:v>Text</x:v>
      </x:c>
      <x:c r="D11" s="20" t="str">
        <x:v>Required</x:v>
      </x:c>
      <x:c r="E11" s="20" t="str"/>
      <x:c r="G11" s="60" t="str">
        <x:v>S06</x:v>
      </x:c>
      <x:c r="H11" s="60" t="str"/>
      <x:c r="I11" s="60" t="str"/>
      <x:c r="J11" s="60" t="str"/>
      <x:c r="K11" s="60" t="str"/>
      <x:c r="L11" s="60" t="str"/>
      <x:c r="M11" s="60" t="str"/>
      <x:c r="N11" s="60" t="str"/>
      <x:c r="O11" s="60" t="str"/>
      <x:c r="P11" s="60" t="str"/>
      <x:c r="Q11" s="62" t="str">
        <x:f>IF(OR(N11="",P11=""),"",ABS(N11-P11))</x:f>
      </x:c>
      <x:c r="R11" s="62" t="str">
        <x:f>IF(OR(O11="",P11=""),"",ABS(O11-P11))</x:f>
      </x:c>
      <x:c r="S11" s="64" t="str">
        <x:f>IF(OR(Q11="",R11="",Q11=0),"",1-R11/Q11)</x:f>
      </x:c>
    </x:row>
    <x:row r="12">
      <x:c r="A12" s="20" t="str">
        <x:v>borrower_raw / borrower_id</x:v>
      </x:c>
      <x:c r="B12" s="20" t="str">
        <x:v>Raw issuer label + canonical entity</x:v>
      </x:c>
      <x:c r="C12" s="20" t="str">
        <x:v>Text</x:v>
      </x:c>
      <x:c r="D12" s="20" t="str">
        <x:v>Required</x:v>
      </x:c>
      <x:c r="E12" s="20" t="str"/>
      <x:c r="G12" s="60" t="str">
        <x:v>S07</x:v>
      </x:c>
      <x:c r="H12" s="60" t="str"/>
      <x:c r="I12" s="60" t="str"/>
      <x:c r="J12" s="60" t="str"/>
      <x:c r="K12" s="60" t="str"/>
      <x:c r="L12" s="60" t="str"/>
      <x:c r="M12" s="60" t="str"/>
      <x:c r="N12" s="60" t="str"/>
      <x:c r="O12" s="60" t="str"/>
      <x:c r="P12" s="60" t="str"/>
      <x:c r="Q12" s="62" t="str">
        <x:f>IF(OR(N12="",P12=""),"",ABS(N12-P12))</x:f>
      </x:c>
      <x:c r="R12" s="62" t="str">
        <x:f>IF(OR(O12="",P12=""),"",ABS(O12-P12))</x:f>
      </x:c>
      <x:c r="S12" s="64" t="str">
        <x:f>IF(OR(Q12="",R12="",Q12=0),"",1-R12/Q12)</x:f>
      </x:c>
    </x:row>
    <x:row r="13">
      <x:c r="A13" s="20" t="str">
        <x:v>facility_type</x:v>
      </x:c>
      <x:c r="B13" s="20" t="str">
        <x:v>Term loan / revolver / delayed draw / preferred etc.</x:v>
      </x:c>
      <x:c r="C13" s="20" t="str">
        <x:v>Category</x:v>
      </x:c>
      <x:c r="D13" s="20" t="str">
        <x:v>Required</x:v>
      </x:c>
      <x:c r="E13" s="20" t="str"/>
      <x:c r="G13" s="60" t="str">
        <x:v>S08</x:v>
      </x:c>
      <x:c r="H13" s="60" t="str"/>
      <x:c r="I13" s="60" t="str"/>
      <x:c r="J13" s="60" t="str"/>
      <x:c r="K13" s="60" t="str"/>
      <x:c r="L13" s="60" t="str"/>
      <x:c r="M13" s="60" t="str"/>
      <x:c r="N13" s="60" t="str"/>
      <x:c r="O13" s="60" t="str"/>
      <x:c r="P13" s="60" t="str"/>
      <x:c r="Q13" s="62" t="str">
        <x:f>IF(OR(N13="",P13=""),"",ABS(N13-P13))</x:f>
      </x:c>
      <x:c r="R13" s="62" t="str">
        <x:f>IF(OR(O13="",P13=""),"",ABS(O13-P13))</x:f>
      </x:c>
      <x:c r="S13" s="64" t="str">
        <x:f>IF(OR(Q13="",R13="",Q13=0),"",1-R13/Q13)</x:f>
      </x:c>
    </x:row>
    <x:row r="14">
      <x:c r="A14" s="20" t="str">
        <x:v>lien_seniority</x:v>
      </x:c>
      <x:c r="B14" s="20" t="str">
        <x:v>First lien / second lien / subordinated</x:v>
      </x:c>
      <x:c r="C14" s="20" t="str">
        <x:v>Category</x:v>
      </x:c>
      <x:c r="D14" s="20" t="str">
        <x:v>Required</x:v>
      </x:c>
      <x:c r="E14" s="20" t="str"/>
      <x:c r="G14" s="60" t="str">
        <x:v>S09</x:v>
      </x:c>
      <x:c r="H14" s="60" t="str"/>
      <x:c r="I14" s="60" t="str"/>
      <x:c r="J14" s="60" t="str"/>
      <x:c r="K14" s="60" t="str"/>
      <x:c r="L14" s="60" t="str"/>
      <x:c r="M14" s="60" t="str"/>
      <x:c r="N14" s="60" t="str"/>
      <x:c r="O14" s="60" t="str"/>
      <x:c r="P14" s="60" t="str"/>
      <x:c r="Q14" s="62" t="str">
        <x:f>IF(OR(N14="",P14=""),"",ABS(N14-P14))</x:f>
      </x:c>
      <x:c r="R14" s="62" t="str">
        <x:f>IF(OR(O14="",P14=""),"",ABS(O14-P14))</x:f>
      </x:c>
      <x:c r="S14" s="64" t="str">
        <x:f>IF(OR(Q14="",R14="",Q14=0),"",1-R14/Q14)</x:f>
      </x:c>
    </x:row>
    <x:row r="15">
      <x:c r="A15" s="20" t="str">
        <x:v>currency</x:v>
      </x:c>
      <x:c r="B15" s="20" t="str">
        <x:v>USD / other</x:v>
      </x:c>
      <x:c r="C15" s="20" t="str">
        <x:v>Category</x:v>
      </x:c>
      <x:c r="D15" s="20" t="str">
        <x:v>Required</x:v>
      </x:c>
      <x:c r="E15" s="20" t="str"/>
      <x:c r="G15" s="60" t="str">
        <x:v>S10</x:v>
      </x:c>
      <x:c r="H15" s="60" t="str"/>
      <x:c r="I15" s="60" t="str"/>
      <x:c r="J15" s="60" t="str"/>
      <x:c r="K15" s="60" t="str"/>
      <x:c r="L15" s="60" t="str"/>
      <x:c r="M15" s="60" t="str"/>
      <x:c r="N15" s="60" t="str"/>
      <x:c r="O15" s="60" t="str"/>
      <x:c r="P15" s="60" t="str"/>
      <x:c r="Q15" s="62" t="str">
        <x:f>IF(OR(N15="",P15=""),"",ABS(N15-P15))</x:f>
      </x:c>
      <x:c r="R15" s="62" t="str">
        <x:f>IF(OR(O15="",P15=""),"",ABS(O15-P15))</x:f>
      </x:c>
      <x:c r="S15" s="64" t="str">
        <x:f>IF(OR(Q15="",R15="",Q15=0),"",1-R15/Q15)</x:f>
      </x:c>
    </x:row>
    <x:row r="16">
      <x:c r="A16" s="20" t="str">
        <x:v>rate_base / spread_bps</x:v>
      </x:c>
      <x:c r="B16" s="20" t="str">
        <x:v>SOFR / base rate + spread</x:v>
      </x:c>
      <x:c r="C16" s="20" t="str">
        <x:v>Numeric</x:v>
      </x:c>
      <x:c r="D16" s="20" t="str">
        <x:v>Preferred</x:v>
      </x:c>
      <x:c r="E16" s="20" t="str"/>
      <x:c r="G16" s="60" t="str">
        <x:v>S11</x:v>
      </x:c>
      <x:c r="H16" s="60" t="str"/>
      <x:c r="I16" s="60" t="str"/>
      <x:c r="J16" s="60" t="str"/>
      <x:c r="K16" s="60" t="str"/>
      <x:c r="L16" s="60" t="str"/>
      <x:c r="M16" s="60" t="str"/>
      <x:c r="N16" s="60" t="str"/>
      <x:c r="O16" s="60" t="str"/>
      <x:c r="P16" s="60" t="str"/>
      <x:c r="Q16" s="62" t="str">
        <x:f>IF(OR(N16="",P16=""),"",ABS(N16-P16))</x:f>
      </x:c>
      <x:c r="R16" s="62" t="str">
        <x:f>IF(OR(O16="",P16=""),"",ABS(O16-P16))</x:f>
      </x:c>
      <x:c r="S16" s="64" t="str">
        <x:f>IF(OR(Q16="",R16="",Q16=0),"",1-R16/Q16)</x:f>
      </x:c>
    </x:row>
    <x:row r="17">
      <x:c r="A17" s="20" t="str">
        <x:v>maturity_date</x:v>
      </x:c>
      <x:c r="B17" s="20" t="str">
        <x:v>Facility maturity</x:v>
      </x:c>
      <x:c r="C17" s="20" t="str">
        <x:v>Date</x:v>
      </x:c>
      <x:c r="D17" s="20" t="str">
        <x:v>Required</x:v>
      </x:c>
      <x:c r="E17" s="20" t="str"/>
      <x:c r="G17" s="60" t="str">
        <x:v>S12</x:v>
      </x:c>
      <x:c r="H17" s="60" t="str"/>
      <x:c r="I17" s="60" t="str"/>
      <x:c r="J17" s="60" t="str"/>
      <x:c r="K17" s="60" t="str"/>
      <x:c r="L17" s="60" t="str"/>
      <x:c r="M17" s="60" t="str"/>
      <x:c r="N17" s="60" t="str"/>
      <x:c r="O17" s="60" t="str"/>
      <x:c r="P17" s="60" t="str"/>
      <x:c r="Q17" s="62" t="str">
        <x:f>IF(OR(N17="",P17=""),"",ABS(N17-P17))</x:f>
      </x:c>
      <x:c r="R17" s="62" t="str">
        <x:f>IF(OR(O17="",P17=""),"",ABS(O17-P17))</x:f>
      </x:c>
      <x:c r="S17" s="64" t="str">
        <x:f>IF(OR(Q17="",R17="",Q17=0),"",1-R17/Q17)</x:f>
      </x:c>
    </x:row>
    <x:row r="18">
      <x:c r="A18" s="20" t="str">
        <x:v>principal_par</x:v>
      </x:c>
      <x:c r="B18" s="20" t="str">
        <x:v>Position par / principal</x:v>
      </x:c>
      <x:c r="C18" s="20" t="str">
        <x:v>$mm</x:v>
      </x:c>
      <x:c r="D18" s="20" t="str">
        <x:v>Required</x:v>
      </x:c>
      <x:c r="E18" s="20" t="str"/>
      <x:c r="G18" s="60" t="str">
        <x:v>S13</x:v>
      </x:c>
      <x:c r="H18" s="60" t="str"/>
      <x:c r="I18" s="60" t="str"/>
      <x:c r="J18" s="60" t="str"/>
      <x:c r="K18" s="60" t="str"/>
      <x:c r="L18" s="60" t="str"/>
      <x:c r="M18" s="60" t="str"/>
      <x:c r="N18" s="60" t="str"/>
      <x:c r="O18" s="60" t="str"/>
      <x:c r="P18" s="60" t="str"/>
      <x:c r="Q18" s="62" t="str">
        <x:f>IF(OR(N18="",P18=""),"",ABS(N18-P18))</x:f>
      </x:c>
      <x:c r="R18" s="62" t="str">
        <x:f>IF(OR(O18="",P18=""),"",ABS(O18-P18))</x:f>
      </x:c>
      <x:c r="S18" s="64" t="str">
        <x:f>IF(OR(Q18="",R18="",Q18=0),"",1-R18/Q18)</x:f>
      </x:c>
    </x:row>
    <x:row r="19">
      <x:c r="A19" s="20" t="str">
        <x:v>cost</x:v>
      </x:c>
      <x:c r="B19" s="20" t="str">
        <x:v>Position cost</x:v>
      </x:c>
      <x:c r="C19" s="20" t="str">
        <x:v>$mm</x:v>
      </x:c>
      <x:c r="D19" s="20" t="str">
        <x:v>Required</x:v>
      </x:c>
      <x:c r="E19" s="20" t="str"/>
      <x:c r="G19" s="60" t="str">
        <x:v>S14</x:v>
      </x:c>
      <x:c r="H19" s="60" t="str"/>
      <x:c r="I19" s="60" t="str"/>
      <x:c r="J19" s="60" t="str"/>
      <x:c r="K19" s="60" t="str"/>
      <x:c r="L19" s="60" t="str"/>
      <x:c r="M19" s="60" t="str"/>
      <x:c r="N19" s="60" t="str"/>
      <x:c r="O19" s="60" t="str"/>
      <x:c r="P19" s="60" t="str"/>
      <x:c r="Q19" s="62" t="str">
        <x:f>IF(OR(N19="",P19=""),"",ABS(N19-P19))</x:f>
      </x:c>
      <x:c r="R19" s="62" t="str">
        <x:f>IF(OR(O19="",P19=""),"",ABS(O19-P19))</x:f>
      </x:c>
      <x:c r="S19" s="64" t="str">
        <x:f>IF(OR(Q19="",R19="",Q19=0),"",1-R19/Q19)</x:f>
      </x:c>
    </x:row>
    <x:row r="20">
      <x:c r="A20" s="20" t="str">
        <x:v>fair_value</x:v>
      </x:c>
      <x:c r="B20" s="20" t="str">
        <x:v>Position fair value</x:v>
      </x:c>
      <x:c r="C20" s="20" t="str">
        <x:v>$mm</x:v>
      </x:c>
      <x:c r="D20" s="20" t="str">
        <x:v>Required</x:v>
      </x:c>
      <x:c r="E20" s="20" t="str"/>
      <x:c r="G20" s="60" t="str">
        <x:v>S15</x:v>
      </x:c>
      <x:c r="H20" s="60" t="str"/>
      <x:c r="I20" s="60" t="str"/>
      <x:c r="J20" s="60" t="str"/>
      <x:c r="K20" s="60" t="str"/>
      <x:c r="L20" s="60" t="str"/>
      <x:c r="M20" s="60" t="str"/>
      <x:c r="N20" s="60" t="str"/>
      <x:c r="O20" s="60" t="str"/>
      <x:c r="P20" s="60" t="str"/>
      <x:c r="Q20" s="62" t="str">
        <x:f>IF(OR(N20="",P20=""),"",ABS(N20-P20))</x:f>
      </x:c>
      <x:c r="R20" s="62" t="str">
        <x:f>IF(OR(O20="",P20=""),"",ABS(O20-P20))</x:f>
      </x:c>
      <x:c r="S20" s="64" t="str">
        <x:f>IF(OR(Q20="",R20="",Q20=0),"",1-R20/Q20)</x:f>
      </x:c>
    </x:row>
    <x:row r="21">
      <x:c r="A21" s="20" t="str">
        <x:v>mark_fv_par</x:v>
      </x:c>
      <x:c r="B21" s="20" t="str">
        <x:v>Fair value / par</x:v>
      </x:c>
      <x:c r="C21" s="20" t="str">
        <x:v>Formula</x:v>
      </x:c>
      <x:c r="D21" s="20" t="str">
        <x:v>Primary outcome</x:v>
      </x:c>
      <x:c r="E21" s="20" t="str"/>
      <x:c r="G21" s="60" t="str">
        <x:v>S16</x:v>
      </x:c>
      <x:c r="H21" s="60" t="str"/>
      <x:c r="I21" s="60" t="str"/>
      <x:c r="J21" s="60" t="str"/>
      <x:c r="K21" s="60" t="str"/>
      <x:c r="L21" s="60" t="str"/>
      <x:c r="M21" s="60" t="str"/>
      <x:c r="N21" s="60" t="str"/>
      <x:c r="O21" s="60" t="str"/>
      <x:c r="P21" s="60" t="str"/>
      <x:c r="Q21" s="62" t="str">
        <x:f>IF(OR(N21="",P21=""),"",ABS(N21-P21))</x:f>
      </x:c>
      <x:c r="R21" s="62" t="str">
        <x:f>IF(OR(O21="",P21=""),"",ABS(O21-P21))</x:f>
      </x:c>
      <x:c r="S21" s="64" t="str">
        <x:f>IF(OR(Q21="",R21="",Q21=0),"",1-R21/Q21)</x:f>
      </x:c>
    </x:row>
    <x:row r="22">
      <x:c r="A22" s="20" t="str">
        <x:v>entry_component</x:v>
      </x:c>
      <x:c r="B22" s="20" t="str">
        <x:v>Cost / par − 1</x:v>
      </x:c>
      <x:c r="C22" s="20" t="str">
        <x:v>Formula</x:v>
      </x:c>
      <x:c r="D22" s="20" t="str">
        <x:v>Control</x:v>
      </x:c>
      <x:c r="E22" s="20" t="str"/>
      <x:c r="G22" s="60" t="str">
        <x:v>S17</x:v>
      </x:c>
      <x:c r="H22" s="60" t="str"/>
      <x:c r="I22" s="60" t="str"/>
      <x:c r="J22" s="60" t="str"/>
      <x:c r="K22" s="60" t="str"/>
      <x:c r="L22" s="60" t="str"/>
      <x:c r="M22" s="60" t="str"/>
      <x:c r="N22" s="60" t="str"/>
      <x:c r="O22" s="60" t="str"/>
      <x:c r="P22" s="60" t="str"/>
      <x:c r="Q22" s="62" t="str">
        <x:f>IF(OR(N22="",P22=""),"",ABS(N22-P22))</x:f>
      </x:c>
      <x:c r="R22" s="62" t="str">
        <x:f>IF(OR(O22="",P22=""),"",ABS(O22-P22))</x:f>
      </x:c>
      <x:c r="S22" s="64" t="str">
        <x:f>IF(OR(Q22="",R22="",Q22=0),"",1-R22/Q22)</x:f>
      </x:c>
    </x:row>
    <x:row r="23">
      <x:c r="A23" s="20" t="str">
        <x:v>post_entry_component</x:v>
      </x:c>
      <x:c r="B23" s="20" t="str">
        <x:v>(FV − cost) / par</x:v>
      </x:c>
      <x:c r="C23" s="20" t="str">
        <x:v>Formula</x:v>
      </x:c>
      <x:c r="D23" s="20" t="str">
        <x:v>Control</x:v>
      </x:c>
      <x:c r="E23" s="20" t="str"/>
      <x:c r="G23" s="60" t="str">
        <x:v>S18</x:v>
      </x:c>
      <x:c r="H23" s="60" t="str"/>
      <x:c r="I23" s="60" t="str"/>
      <x:c r="J23" s="60" t="str"/>
      <x:c r="K23" s="60" t="str"/>
      <x:c r="L23" s="60" t="str"/>
      <x:c r="M23" s="60" t="str"/>
      <x:c r="N23" s="60" t="str"/>
      <x:c r="O23" s="60" t="str"/>
      <x:c r="P23" s="60" t="str"/>
      <x:c r="Q23" s="62" t="str">
        <x:f>IF(OR(N23="",P23=""),"",ABS(N23-P23))</x:f>
      </x:c>
      <x:c r="R23" s="62" t="str">
        <x:f>IF(OR(O23="",P23=""),"",ABS(O23-P23))</x:f>
      </x:c>
      <x:c r="S23" s="64" t="str">
        <x:f>IF(OR(Q23="",R23="",Q23=0),"",1-R23/Q23)</x:f>
      </x:c>
    </x:row>
    <x:row r="24">
      <x:c r="A24" s="20" t="str">
        <x:v>PIK_flag</x:v>
      </x:c>
      <x:c r="B24" s="20" t="str">
        <x:v>Payment-in-kind indicator</x:v>
      </x:c>
      <x:c r="C24" s="20" t="str">
        <x:v>Boolean</x:v>
      </x:c>
      <x:c r="D24" s="20" t="str">
        <x:v>Primary H1b</x:v>
      </x:c>
      <x:c r="E24" s="20" t="str"/>
      <x:c r="G24" s="60" t="str">
        <x:v>S19</x:v>
      </x:c>
      <x:c r="H24" s="60" t="str"/>
      <x:c r="I24" s="60" t="str"/>
      <x:c r="J24" s="60" t="str"/>
      <x:c r="K24" s="60" t="str"/>
      <x:c r="L24" s="60" t="str"/>
      <x:c r="M24" s="60" t="str"/>
      <x:c r="N24" s="60" t="str"/>
      <x:c r="O24" s="60" t="str"/>
      <x:c r="P24" s="60" t="str"/>
      <x:c r="Q24" s="62" t="str">
        <x:f>IF(OR(N24="",P24=""),"",ABS(N24-P24))</x:f>
      </x:c>
      <x:c r="R24" s="62" t="str">
        <x:f>IF(OR(O24="",P24=""),"",ABS(O24-P24))</x:f>
      </x:c>
      <x:c r="S24" s="64" t="str">
        <x:f>IF(OR(Q24="",R24="",Q24=0),"",1-R24/Q24)</x:f>
      </x:c>
    </x:row>
    <x:row r="25">
      <x:c r="A25" s="20" t="str">
        <x:v>non_accrual_flag</x:v>
      </x:c>
      <x:c r="B25" s="20" t="str">
        <x:v>Non-accrual indicator</x:v>
      </x:c>
      <x:c r="C25" s="20" t="str">
        <x:v>Boolean</x:v>
      </x:c>
      <x:c r="D25" s="20" t="str">
        <x:v>Primary H1b</x:v>
      </x:c>
      <x:c r="E25" s="20" t="str"/>
      <x:c r="G25" s="60" t="str">
        <x:v>S20</x:v>
      </x:c>
      <x:c r="H25" s="60" t="str"/>
      <x:c r="I25" s="60" t="str"/>
      <x:c r="J25" s="60" t="str"/>
      <x:c r="K25" s="60" t="str"/>
      <x:c r="L25" s="60" t="str"/>
      <x:c r="M25" s="60" t="str"/>
      <x:c r="N25" s="60" t="str"/>
      <x:c r="O25" s="60" t="str"/>
      <x:c r="P25" s="60" t="str"/>
      <x:c r="Q25" s="62" t="str">
        <x:f>IF(OR(N25="",P25=""),"",ABS(N25-P25))</x:f>
      </x:c>
      <x:c r="R25" s="62" t="str">
        <x:f>IF(OR(O25="",P25=""),"",ABS(O25-P25))</x:f>
      </x:c>
      <x:c r="S25" s="64" t="str">
        <x:f>IF(OR(Q25="",R25="",Q25=0),"",1-R25/Q25)</x:f>
      </x:c>
    </x:row>
    <x:row r="26">
      <x:c r="A26" s="20" t="str">
        <x:v>restructuring_flag</x:v>
      </x:c>
      <x:c r="B26" s="20" t="str">
        <x:v>Amendment / restructuring / debt-for-equity</x:v>
      </x:c>
      <x:c r="C26" s="20" t="str">
        <x:v>Boolean</x:v>
      </x:c>
      <x:c r="D26" s="20" t="str">
        <x:v>Secondary</x:v>
      </x:c>
      <x:c r="E26" s="20" t="str"/>
    </x:row>
    <x:row r="27">
      <x:c r="A27" s="20" t="str">
        <x:v>position_persistence</x:v>
      </x:c>
      <x:c r="B27" s="20" t="str">
        <x:v>Probability target still holds position</x:v>
      </x:c>
      <x:c r="C27" s="20" t="str">
        <x:v>Probability</x:v>
      </x:c>
      <x:c r="D27" s="20" t="str">
        <x:v>Required for live</x:v>
      </x:c>
      <x:c r="E27" s="20" t="str"/>
    </x:row>
    <x:row r="28">
      <x:c r="A28" s="20" t="str">
        <x:v>common_manager</x:v>
      </x:c>
      <x:c r="B28" s="20" t="str">
        <x:v>Same adviser / co-investment platform</x:v>
      </x:c>
      <x:c r="C28" s="20" t="str">
        <x:v>Boolean</x:v>
      </x:c>
      <x:c r="D28" s="20" t="str">
        <x:v>Control</x:v>
      </x:c>
      <x:c r="E28" s="20" t="str"/>
    </x:row>
    <x:row r="29">
      <x:c r="A29" s="20" t="str">
        <x:v>common_appraiser</x:v>
      </x:c>
      <x:c r="B29" s="20" t="str">
        <x:v>Same valuation firm if disclosed</x:v>
      </x:c>
      <x:c r="C29" s="20" t="str">
        <x:v>Boolean</x:v>
      </x:c>
      <x:c r="D29" s="20" t="str">
        <x:v>Control / research angle</x:v>
      </x:c>
      <x:c r="E29" s="20" t="str"/>
    </x:row>
    <x:row r="30">
      <x:c r="A30" s="20" t="str">
        <x:v>exact_match_confidence</x:v>
      </x:c>
      <x:c r="B30" s="20" t="str">
        <x:v>P(same facility)</x:v>
      </x:c>
      <x:c r="C30" s="20" t="str">
        <x:v>Probability</x:v>
      </x:c>
      <x:c r="D30" s="20" t="str">
        <x:v>Gate ≥95% precision</x:v>
      </x:c>
      <x:c r="E30" s="20" t="str"/>
    </x:row>
    <x:row r="31">
      <x:c r="A31" s="20" t="str">
        <x:v>baseline_target_mark</x:v>
      </x:c>
      <x:c r="B31" s="20" t="str">
        <x:v>Last target mark or median already-filed co-holders</x:v>
      </x:c>
      <x:c r="C31" s="20" t="str">
        <x:v>Numeric</x:v>
      </x:c>
      <x:c r="D31" s="20" t="str">
        <x:v>Required</x:v>
      </x:c>
      <x:c r="E31" s="20" t="str"/>
    </x:row>
    <x:row r="32">
      <x:c r="A32" s="20" t="str">
        <x:v>predicted_target_mark</x:v>
      </x:c>
      <x:c r="B32" s="20" t="str">
        <x:v>Nowcast</x:v>
      </x:c>
      <x:c r="C32" s="20" t="str">
        <x:v>Numeric</x:v>
      </x:c>
      <x:c r="D32" s="20" t="str">
        <x:v>Required</x:v>
      </x:c>
      <x:c r="E32" s="20" t="str"/>
    </x:row>
    <x:row r="33">
      <x:c r="A33" s="20" t="str">
        <x:v>actual_target_mark</x:v>
      </x:c>
      <x:c r="B33" s="20" t="str">
        <x:v>Later published ground truth</x:v>
      </x:c>
      <x:c r="C33" s="20" t="str">
        <x:v>Numeric</x:v>
      </x:c>
      <x:c r="D33" s="20" t="str">
        <x:v>Required</x:v>
      </x:c>
      <x:c r="E33" s="20" t="str"/>
    </x:row>
    <x:row r="34">
      <x:c r="A34" s="20" t="str">
        <x:v>absolute_error</x:v>
      </x:c>
      <x:c r="B34" s="20" t="str">
        <x:v>ABS(predicted−actual)</x:v>
      </x:c>
      <x:c r="C34" s="20" t="str">
        <x:v>Formula</x:v>
      </x:c>
      <x:c r="D34" s="20" t="str">
        <x:v>Metric</x:v>
      </x:c>
      <x:c r="E34" s="20" t="str"/>
    </x:row>
    <x:row r="35">
      <x:c r="A35" s="20" t="str">
        <x:v>evidence_urls</x:v>
      </x:c>
      <x:c r="B35" s="20" t="str">
        <x:v>Source and target filing links</x:v>
      </x:c>
      <x:c r="C35" s="20" t="str">
        <x:v>URL</x:v>
      </x:c>
      <x:c r="D35" s="20" t="str">
        <x:v>Required</x:v>
      </x:c>
      <x:c r="E35" s="20" t="str"/>
    </x:row>
  </x:sheetData>
  <x:mergeCells>
    <x:mergeCell ref="A1:J1"/>
    <x:mergeCell ref="A2:J2"/>
    <x:mergeCell ref="G4:P4"/>
  </x:mergeCells>
  <x:pageMargins left="0.7" right="0.7" top="0.75" bottom="0.75" header="0.3" footer="0.3"/>
  <x:tableParts count="1">
    <x:tablePart xmlns:r="http://schemas.openxmlformats.org/officeDocument/2006/relationships" r:id="R843b0da9194c4487"/>
  </x:tableParts>
</x:worksheet>
</file>

<file path=xl/worksheets/sheet9.xml><?xml version="1.0" encoding="utf-8"?>
<x:worksheet xmlns:x="http://schemas.openxmlformats.org/spreadsheetml/2006/main">
  <x:sheetFormatPr defaultRowHeight="15"/>
  <x:cols>
    <x:col min="1" max="1" width="24" hidden="0" customWidth="1"/>
    <x:col min="2" max="2" width="76" hidden="0" customWidth="1"/>
    <x:col min="3" max="3" width="14" hidden="0" customWidth="1"/>
    <x:col min="4" max="4" width="55" hidden="0" customWidth="1"/>
    <x:col min="5" max="5" width="16" hidden="0" customWidth="1"/>
    <x:col min="6" max="6" width="55" hidden="0" customWidth="1"/>
  </x:cols>
  <x:sheetData>
    <x:row r="1">
      <x:c r="A1" s="15" t="str">
        <x:v>Japan Language Wall Day 1 — исторический архив TDnet</x:v>
      </x:c>
      <x:c r="B1" s="15"/>
      <x:c r="C1" s="15"/>
      <x:c r="D1" s="15"/>
      <x:c r="E1" s="15"/>
      <x:c r="F1" s="15"/>
    </x:row>
    <x:row r="2">
      <x:c r="A2" s="24" t="str">
        <x:v>Reconciled Day 1 result: Yanoshin historical INDEX is alive for tested 2023–2025 periods, but all tested old PDF/XBRL links resolved to 404. Index counts/titles are usable; underlying documents are not yet recovered.</x:v>
      </x:c>
      <x:c r="B2" s="24"/>
      <x:c r="C2" s="24"/>
      <x:c r="D2" s="24"/>
      <x:c r="E2" s="24"/>
      <x:c r="F2" s="24"/>
    </x:row>
    <x:row r="4">
      <x:c r="A4" s="6" t="str">
        <x:v>Test date</x:v>
      </x:c>
      <x:c r="B4" s="6" t="str">
        <x:v>Accessible?</x:v>
      </x:c>
      <x:c r="C4" s="6" t="str">
        <x:v>Reported items</x:v>
      </x:c>
      <x:c r="D4" s="6" t="str">
        <x:v>Finding</x:v>
      </x:c>
      <x:c r="E4" s="6" t="str">
        <x:v>Source type</x:v>
      </x:c>
      <x:c r="F4" s="6" t="str">
        <x:v>URL</x:v>
      </x:c>
    </x:row>
    <x:row r="5">
      <x:c r="A5" s="40" t="n">
        <x:v>45272</x:v>
      </x:c>
      <x:c r="B5" s="20" t="str">
        <x:v>Да</x:v>
      </x:c>
      <x:c r="C5" s="41" t="n">
        <x:v>144</x:v>
      </x:c>
      <x:c r="D5" s="20" t="str">
        <x:v>Historical index opens. CORRECTION: tested old PDF/XBRL links return 404; documents are not confirmed available.</x:v>
      </x:c>
      <x:c r="E5" s="20" t="str">
        <x:v>Unofficial</x:v>
      </x:c>
      <x:c r="F5" s="20" t="str">
        <x:v>https://webapi.yanoshin.jp/webapi/tdnet/list/20231212.html</x:v>
      </x:c>
    </x:row>
    <x:row r="6">
      <x:c r="A6" s="40" t="n">
        <x:v>45306</x:v>
      </x:c>
      <x:c r="B6" s="20" t="str">
        <x:v>Да</x:v>
      </x:c>
      <x:c r="C6" s="41" t="n">
        <x:v>300</x:v>
      </x:c>
      <x:c r="D6" s="20" t="str">
        <x:v>Историческая дата открывается</x:v>
      </x:c>
      <x:c r="E6" s="20" t="str">
        <x:v>Unofficial</x:v>
      </x:c>
      <x:c r="F6" s="20" t="str">
        <x:v>https://webapi.yanoshin.jp/webapi/tdnet/list/20240115.html</x:v>
      </x:c>
    </x:row>
    <x:row r="7">
      <x:c r="A7" s="40" t="n">
        <x:v>45383</x:v>
      </x:c>
      <x:c r="B7" s="20" t="str">
        <x:v>Да</x:v>
      </x:c>
      <x:c r="C7" s="41" t="n">
        <x:v>300</x:v>
      </x:c>
      <x:c r="D7" s="20" t="str">
        <x:v>Историческая дата открывается</x:v>
      </x:c>
      <x:c r="E7" s="20" t="str">
        <x:v>Unofficial</x:v>
      </x:c>
      <x:c r="F7" s="20" t="str">
        <x:v>https://webapi.yanoshin.jp/webapi/tdnet/list/20240401.html</x:v>
      </x:c>
    </x:row>
    <x:row r="8">
      <x:c r="A8" s="40" t="n">
        <x:v>45476</x:v>
      </x:c>
      <x:c r="B8" s="20" t="str">
        <x:v>Да</x:v>
      </x:c>
      <x:c r="C8" s="41"/>
      <x:c r="D8" s="20" t="str">
        <x:v>Историческая дата открывается; count не зафиксирован в Day 1</x:v>
      </x:c>
      <x:c r="E8" s="20" t="str">
        <x:v>Unofficial</x:v>
      </x:c>
      <x:c r="F8" s="20" t="str">
        <x:v>https://webapi.yanoshin.jp/webapi/tdnet/list/20240703.html</x:v>
      </x:c>
    </x:row>
    <x:row r="9">
      <x:c r="A9" s="40" t="n">
        <x:v>45638</x:v>
      </x:c>
      <x:c r="B9" s="20" t="str">
        <x:v>Да</x:v>
      </x:c>
      <x:c r="C9" s="41"/>
      <x:c r="D9" s="20" t="str">
        <x:v>Историческая дата открывается; count не зафиксирован в Day 1</x:v>
      </x:c>
      <x:c r="E9" s="20" t="str">
        <x:v>Unofficial</x:v>
      </x:c>
      <x:c r="F9" s="20" t="str">
        <x:v>https://webapi.yanoshin.jp/webapi/tdnet/list/20241212.html</x:v>
      </x:c>
    </x:row>
    <x:row r="10">
      <x:c r="A10" s="40" t="n">
        <x:v>45672</x:v>
      </x:c>
      <x:c r="B10" s="20" t="str">
        <x:v>Да</x:v>
      </x:c>
      <x:c r="C10" s="41" t="n">
        <x:v>180</x:v>
      </x:c>
      <x:c r="D10" s="20" t="str">
        <x:v>Историческая дата открывается</x:v>
      </x:c>
      <x:c r="E10" s="20" t="str">
        <x:v>Unofficial</x:v>
      </x:c>
      <x:c r="F10" s="20" t="str">
        <x:v>https://webapi.yanoshin.jp/webapi/tdnet/list/20250115.html</x:v>
      </x:c>
    </x:row>
    <x:row r="11">
      <x:c r="A11" s="40" t="n">
        <x:v>46246</x:v>
      </x:c>
      <x:c r="B11" s="20" t="str">
        <x:v>Да</x:v>
      </x:c>
      <x:c r="C11" s="41"/>
      <x:c r="D11" s="20" t="str">
        <x:v>Текущий/недавний поток доступен; для free J-Quants цены будут с лагом</x:v>
      </x:c>
      <x:c r="E11" s="20" t="str">
        <x:v>Unofficial</x:v>
      </x:c>
      <x:c r="F11" s="20" t="str">
        <x:v>https://webapi.yanoshin.jp/webapi/tdnet/list/recent.html</x:v>
      </x:c>
    </x:row>
    <x:row r="14">
      <x:c r="A14" s="47" t="str">
        <x:v>Подтверждённые правила / ограничения</x:v>
      </x:c>
      <x:c r="B14" s="47"/>
      <x:c r="C14" s="47"/>
      <x:c r="D14" s="47"/>
      <x:c r="E14" s="47"/>
      <x:c r="F14" s="47"/>
    </x:row>
    <x:row r="15">
      <x:c r="A15" s="6" t="str">
        <x:v>Item</x:v>
      </x:c>
      <x:c r="B15" s="6" t="str">
        <x:v>Day 1 conclusion</x:v>
      </x:c>
      <x:c r="C15" s="6" t="str">
        <x:v>Status</x:v>
      </x:c>
      <x:c r="D15" s="6" t="str">
        <x:v>URL</x:v>
      </x:c>
    </x:row>
    <x:row r="16">
      <x:c r="A16" s="20" t="str">
        <x:v>Prime English mandate</x:v>
      </x:c>
      <x:c r="B16" s="20" t="str">
        <x:v>С апреля 2025 domestic Prime companies обязаны одновременно раскрывать financial results и timely disclosures на японском и английском.</x:v>
      </x:c>
      <x:c r="C16" s="20" t="str">
        <x:v>Confirmed</x:v>
      </x:c>
      <x:c r="D16" s="20" t="str">
        <x:v>https://www.jpx.co.jp/english/equities/listed-co/disclosure-gate/service/</x:v>
      </x:c>
    </x:row>
    <x:row r="17">
      <x:c r="A17" s="20" t="str">
        <x:v>Treatment is not binary</x:v>
      </x:c>
      <x:c r="B17" s="20" t="str">
        <x:v>Допустим summary/excerpt; есть grace period и срочные исключения. Нужна event-level treatment intensity.</x:v>
      </x:c>
      <x:c r="C17" s="20" t="str">
        <x:v>Confirmed</x:v>
      </x:c>
      <x:c r="D17" s="20" t="str">
        <x:v>https://www.jpx.co.jp/english/rules-participants/public-comment/detail/d1/u5j7e500000029h8-att/u5j7e500000029jd.pdf</x:v>
      </x:c>
    </x:row>
    <x:row r="18">
      <x:c r="A18" s="20" t="str">
        <x:v>Official free archive</x:v>
      </x:c>
      <x:c r="B18" s="20" t="str">
        <x:v>Company Announcements Service обычно хранит публичные документы около месяца.</x:v>
      </x:c>
      <x:c r="C18" s="20" t="str">
        <x:v>Confirmed</x:v>
      </x:c>
      <x:c r="D18" s="20" t="str">
        <x:v>https://www.jpx.co.jp/english/listing/disclosure/index.html</x:v>
      </x:c>
    </x:row>
    <x:row r="19">
      <x:c r="A19" s="20" t="str">
        <x:v>Official paid archive</x:v>
      </x:c>
      <x:c r="B19" s="20" t="str">
        <x:v>TDnet API/DBS предоставляет 5 лет истории подписчикам.</x:v>
      </x:c>
      <x:c r="C19" s="20" t="str">
        <x:v>Confirmed</x:v>
      </x:c>
      <x:c r="D19" s="20" t="str">
        <x:v>https://www.jpx.co.jp/english/markets/paid-info-listing/tdnet/02.html</x:v>
      </x:c>
    </x:row>
    <x:row r="20">
      <x:c r="A20" s="20" t="str">
        <x:v>Free price data</x:v>
      </x:c>
      <x:c r="B20" s="20" t="str">
        <x:v>J-Quants Free: daily OHLC, 2 years excluding latest 12 weeks; 5 calls/min.</x:v>
      </x:c>
      <x:c r="C20" s="20" t="str">
        <x:v>Confirmed</x:v>
      </x:c>
      <x:c r="D20" s="20" t="str">
        <x:v>https://jpx-jquants.com/en</x:v>
      </x:c>
    </x:row>
    <x:row r="21">
      <x:c r="A21" s="20" t="str">
        <x:v>Historical event-time</x:v>
      </x:c>
      <x:c r="B21" s="20" t="str">
        <x:v>Daily T+1…T+10 можно тестировать на событиях старше 12 недель; intraday mechanism не измеряется бесплатно.</x:v>
      </x:c>
      <x:c r="C21" s="20" t="str">
        <x:v>Inference</x:v>
      </x:c>
      <x:c r="D21" s="20" t="str">
        <x:v>https://jpx-jquants.com/en</x:v>
      </x:c>
    </x:row>
  </x:sheetData>
  <x:mergeCells>
    <x:mergeCell ref="A1:F1"/>
    <x:mergeCell ref="A2:F2"/>
    <x:mergeCell ref="A14:F14"/>
  </x:mergeCells>
  <x:conditionalFormatting sqref="B5:B11">
    <x:cfRule type="expression" dxfId="5" priority="1">
      <x:formula>B5="Да"</x:formula>
    </x:cfRule>
  </x:conditionalFormatting>
  <x:pageMargins left="0.7" right="0.7" top="0.75" bottom="0.75" header="0.3" footer="0.3"/>
  <x:tableParts count="1">
    <x:tablePart xmlns:r="http://schemas.openxmlformats.org/officeDocument/2006/relationships" r:id="Rfe989f395028434b"/>
  </x:tableParts>
</x:worksheet>
</file>

<file path=xl/worksheets/sheet10.xml><?xml version="1.0" encoding="utf-8"?>
<x:worksheet xmlns:x="http://schemas.openxmlformats.org/spreadsheetml/2006/main">
  <x:sheetFormatPr defaultRowHeight="15"/>
  <x:cols>
    <x:col min="1" max="1" width="19" hidden="0" customWidth="1"/>
    <x:col min="2" max="2" width="10" hidden="0" customWidth="1"/>
    <x:col min="3" max="3" width="22" hidden="0" customWidth="1"/>
    <x:col min="4" max="4" width="24" hidden="0" customWidth="1"/>
    <x:col min="5" max="5" width="70" hidden="0" customWidth="1"/>
    <x:col min="6" max="6" width="26" hidden="0" customWidth="1"/>
    <x:col min="7" max="7" width="16" hidden="0" customWidth="1"/>
    <x:col min="8" max="8" width="16" hidden="0" customWidth="1"/>
    <x:col min="9" max="9" width="20" hidden="0" customWidth="1"/>
    <x:col min="10" max="10" width="55" hidden="0" customWidth="1"/>
  </x:cols>
  <x:sheetData>
    <x:row r="1">
      <x:c r="A1" s="15" t="str">
        <x:v>Japan Language Wall — стартовый sample forecast-revision events</x:v>
      </x:c>
      <x:c r="B1" s="15"/>
      <x:c r="C1" s="15"/>
      <x:c r="D1" s="15"/>
      <x:c r="E1" s="15"/>
      <x:c r="F1" s="15"/>
      <x:c r="G1" s="15"/>
      <x:c r="H1" s="15"/>
      <x:c r="I1" s="15"/>
      <x:c r="J1" s="15"/>
    </x:row>
    <x:row r="2">
      <x:c r="A2" s="24" t="str">
        <x:v>Это extraction seed, не статистическая выборка. Primary class = earnings forecast revisions. Market segment, English availability и old/new numbers пока намеренно оставлены Pending.</x:v>
      </x:c>
      <x:c r="B2" s="24"/>
      <x:c r="C2" s="24"/>
      <x:c r="D2" s="24"/>
      <x:c r="E2" s="24"/>
      <x:c r="F2" s="24"/>
      <x:c r="G2" s="24"/>
      <x:c r="H2" s="24"/>
      <x:c r="I2" s="24"/>
      <x:c r="J2" s="24"/>
    </x:row>
    <x:row r="4">
      <x:c r="A4" s="6" t="str">
        <x:v>Disclosure datetime JST</x:v>
      </x:c>
      <x:c r="B4" s="6" t="str">
        <x:v>Code</x:v>
      </x:c>
      <x:c r="C4" s="6" t="str">
        <x:v>Company raw</x:v>
      </x:c>
      <x:c r="D4" s="6" t="str">
        <x:v>Event class</x:v>
      </x:c>
      <x:c r="E4" s="6" t="str">
        <x:v>Japanese title</x:v>
      </x:c>
      <x:c r="F4" s="6" t="str">
        <x:v>Direction / note</x:v>
      </x:c>
      <x:c r="G4" s="6" t="str">
        <x:v>Market segment</x:v>
      </x:c>
      <x:c r="H4" s="6" t="str">
        <x:v>English status</x:v>
      </x:c>
      <x:c r="I4" s="6" t="str">
        <x:v>Old→new guidance extracted?</x:v>
      </x:c>
      <x:c r="J4" s="6" t="str">
        <x:v>Source URL</x:v>
      </x:c>
    </x:row>
    <x:row r="5">
      <x:c r="A5" s="68" t="n">
        <x:v>45272.99652777778</x:v>
      </x:c>
      <x:c r="B5" s="20" t="str">
        <x:v>69670</x:v>
      </x:c>
      <x:c r="C5" s="20" t="str">
        <x:v>新光電工</x:v>
      </x:c>
      <x:c r="D5" s="20" t="str">
        <x:v>Dividend forecast revision</x:v>
      </x:c>
      <x:c r="E5" s="20" t="str">
        <x:v>2024年3月期の期末配当予想の修正（無配）および株主優待制度の廃止に関するお知らせ</x:v>
      </x:c>
      <x:c r="F5" s="20" t="str">
        <x:v>Down / no dividend</x:v>
      </x:c>
      <x:c r="G5" s="56" t="str">
        <x:v>Pending</x:v>
      </x:c>
      <x:c r="H5" s="56" t="str">
        <x:v>Pending</x:v>
      </x:c>
      <x:c r="I5" s="56" t="str">
        <x:v>Pending</x:v>
      </x:c>
      <x:c r="J5" s="20" t="str">
        <x:v>https://webapi.yanoshin.jp/webapi/tdnet/list/20231212.html</x:v>
      </x:c>
    </x:row>
    <x:row r="6">
      <x:c r="A6" s="68" t="n">
        <x:v>45272.791666666664</x:v>
      </x:c>
      <x:c r="B6" s="20" t="str">
        <x:v>39760</x:v>
      </x:c>
      <x:c r="C6" s="20" t="str">
        <x:v>Ｇ－シャノン</x:v>
      </x:c>
      <x:c r="D6" s="20" t="str">
        <x:v>Actual vs forecast / tax asset</x:v>
      </x:c>
      <x:c r="E6" s="20" t="str">
        <x:v>繰延税金資産の取り崩し及び2023年10月期通期連結業績予想と実績値の差異に関するお知らせ</x:v>
      </x:c>
      <x:c r="F6" s="20" t="str">
        <x:v>Negative / actual difference</x:v>
      </x:c>
      <x:c r="G6" s="56" t="str">
        <x:v>Growth (title prefix)</x:v>
      </x:c>
      <x:c r="H6" s="56" t="str">
        <x:v>Pending</x:v>
      </x:c>
      <x:c r="I6" s="56" t="str">
        <x:v>Pending</x:v>
      </x:c>
      <x:c r="J6" s="20" t="str">
        <x:v>https://webapi.yanoshin.jp/webapi/tdnet/list/20231212.html</x:v>
      </x:c>
    </x:row>
    <x:row r="7">
      <x:c r="A7" s="68" t="n">
        <x:v>45272.645833333336</x:v>
      </x:c>
      <x:c r="B7" s="20" t="str">
        <x:v>22940</x:v>
      </x:c>
      <x:c r="C7" s="20" t="str">
        <x:v>柿安本店</x:v>
      </x:c>
      <x:c r="D7" s="20" t="str">
        <x:v>Forecast revision</x:v>
      </x:c>
      <x:c r="E7" s="20" t="str">
        <x:v>2024年4月期第2四半期の業績予想と実績値との差異及び通期の業績予想の修正に関するお知らせ</x:v>
      </x:c>
      <x:c r="F7" s="20" t="str">
        <x:v>Pending extraction</x:v>
      </x:c>
      <x:c r="G7" s="56" t="str">
        <x:v>Pending</x:v>
      </x:c>
      <x:c r="H7" s="56" t="str">
        <x:v>Pending</x:v>
      </x:c>
      <x:c r="I7" s="56" t="str">
        <x:v>Pending</x:v>
      </x:c>
      <x:c r="J7" s="20" t="str">
        <x:v>https://webapi.yanoshin.jp/webapi/tdnet/list/20231212.html</x:v>
      </x:c>
    </x:row>
    <x:row r="8">
      <x:c r="A8" s="68" t="n">
        <x:v>45272.645833333336</x:v>
      </x:c>
      <x:c r="B8" s="20" t="str">
        <x:v>36570</x:v>
      </x:c>
      <x:c r="C8" s="20" t="str">
        <x:v>ポールＨＤ</x:v>
      </x:c>
      <x:c r="D8" s="20" t="str">
        <x:v>Forecast revision</x:v>
      </x:c>
      <x:c r="E8" s="20" t="str">
        <x:v>通期連結業績予想の修正及び配当予想の据え置きに関するお知らせ</x:v>
      </x:c>
      <x:c r="F8" s="20" t="str">
        <x:v>Pending extraction</x:v>
      </x:c>
      <x:c r="G8" s="56" t="str">
        <x:v>Pending</x:v>
      </x:c>
      <x:c r="H8" s="56" t="str">
        <x:v>Pending</x:v>
      </x:c>
      <x:c r="I8" s="56" t="str">
        <x:v>Pending</x:v>
      </x:c>
      <x:c r="J8" s="20" t="str">
        <x:v>https://webapi.yanoshin.jp/webapi/tdnet/list/20231212.html</x:v>
      </x:c>
    </x:row>
    <x:row r="9">
      <x:c r="A9" s="68" t="n">
        <x:v>45272.625</x:v>
      </x:c>
      <x:c r="B9" s="20" t="str">
        <x:v>21730</x:v>
      </x:c>
      <x:c r="C9" s="20" t="str">
        <x:v>Ｇ－博展</x:v>
      </x:c>
      <x:c r="D9" s="20" t="str">
        <x:v>Forecast + dividend revision</x:v>
      </x:c>
      <x:c r="E9" s="20" t="str">
        <x:v>通期連結業績予想の修正（上方修正）および配当予想の修正（増配）に関するお知らせ</x:v>
      </x:c>
      <x:c r="F9" s="20" t="str">
        <x:v>Upward</x:v>
      </x:c>
      <x:c r="G9" s="56" t="str">
        <x:v>Growth (title prefix)</x:v>
      </x:c>
      <x:c r="H9" s="56" t="str">
        <x:v>Pending</x:v>
      </x:c>
      <x:c r="I9" s="56" t="str">
        <x:v>Pending</x:v>
      </x:c>
      <x:c r="J9" s="20" t="str">
        <x:v>https://webapi.yanoshin.jp/webapi/tdnet/list/20231212.html</x:v>
      </x:c>
    </x:row>
    <x:row r="10">
      <x:c r="A10" s="68" t="n">
        <x:v>45272.625</x:v>
      </x:c>
      <x:c r="B10" s="20" t="str">
        <x:v>73470</x:v>
      </x:c>
      <x:c r="C10" s="20" t="str">
        <x:v>マーキュリアＨＤ</x:v>
      </x:c>
      <x:c r="D10" s="20" t="str">
        <x:v>Forecast revision</x:v>
      </x:c>
      <x:c r="E10" s="20" t="str">
        <x:v>通期業績予想の修正及び配当予想の据え置きに関するお知らせ</x:v>
      </x:c>
      <x:c r="F10" s="20" t="str">
        <x:v>Pending extraction</x:v>
      </x:c>
      <x:c r="G10" s="56" t="str">
        <x:v>Pending</x:v>
      </x:c>
      <x:c r="H10" s="56" t="str">
        <x:v>Pending</x:v>
      </x:c>
      <x:c r="I10" s="56" t="str">
        <x:v>Pending</x:v>
      </x:c>
      <x:c r="J10" s="20" t="str">
        <x:v>https://webapi.yanoshin.jp/webapi/tdnet/list/20231212.html</x:v>
      </x:c>
    </x:row>
    <x:row r="11">
      <x:c r="A11" s="68" t="n">
        <x:v>45272.625</x:v>
      </x:c>
      <x:c r="B11" s="20" t="str">
        <x:v>74940</x:v>
      </x:c>
      <x:c r="C11" s="20" t="str">
        <x:v>コナカ</x:v>
      </x:c>
      <x:c r="D11" s="20" t="str">
        <x:v>Forecast revision</x:v>
      </x:c>
      <x:c r="E11" s="20" t="str">
        <x:v>2024年９月期連結業績予想の修正に関するお知らせ</x:v>
      </x:c>
      <x:c r="F11" s="20" t="str">
        <x:v>Pending extraction</x:v>
      </x:c>
      <x:c r="G11" s="56" t="str">
        <x:v>Pending</x:v>
      </x:c>
      <x:c r="H11" s="56" t="str">
        <x:v>Pending</x:v>
      </x:c>
      <x:c r="I11" s="56" t="str">
        <x:v>Pending</x:v>
      </x:c>
      <x:c r="J11" s="20" t="str">
        <x:v>https://webapi.yanoshin.jp/webapi/tdnet/list/20231212.html</x:v>
      </x:c>
    </x:row>
    <x:row r="12">
      <x:c r="A12" s="68" t="n">
        <x:v>45272.625</x:v>
      </x:c>
      <x:c r="B12" s="20" t="str">
        <x:v>75610</x:v>
      </x:c>
      <x:c r="C12" s="20" t="str">
        <x:v>ハークスレイ</x:v>
      </x:c>
      <x:c r="D12" s="20" t="str">
        <x:v>Forecast revision</x:v>
      </x:c>
      <x:c r="E12" s="20" t="str">
        <x:v>2024年３月期 通期連結業績予想の上方修正に関するお知らせ</x:v>
      </x:c>
      <x:c r="F12" s="20" t="str">
        <x:v>Upward</x:v>
      </x:c>
      <x:c r="G12" s="56" t="str">
        <x:v>Pending</x:v>
      </x:c>
      <x:c r="H12" s="56" t="str">
        <x:v>Pending</x:v>
      </x:c>
      <x:c r="I12" s="56" t="str">
        <x:v>Pending</x:v>
      </x:c>
      <x:c r="J12" s="20" t="str">
        <x:v>https://webapi.yanoshin.jp/webapi/tdnet/list/20231212.html</x:v>
      </x:c>
    </x:row>
    <x:row r="13">
      <x:c r="A13" s="68" t="n">
        <x:v>45272.625</x:v>
      </x:c>
      <x:c r="B13" s="20" t="str">
        <x:v>78290</x:v>
      </x:c>
      <x:c r="C13" s="20" t="str">
        <x:v>Ｇ－サマンサＪＰ</x:v>
      </x:c>
      <x:c r="D13" s="20" t="str">
        <x:v>Forecast revision</x:v>
      </x:c>
      <x:c r="E13" s="20" t="str">
        <x:v>通期連結業績予想の修正に関するお知らせ</x:v>
      </x:c>
      <x:c r="F13" s="20" t="str">
        <x:v>Pending extraction</x:v>
      </x:c>
      <x:c r="G13" s="56" t="str">
        <x:v>Growth (title prefix)</x:v>
      </x:c>
      <x:c r="H13" s="56" t="str">
        <x:v>Pending</x:v>
      </x:c>
      <x:c r="I13" s="56" t="str">
        <x:v>Pending</x:v>
      </x:c>
      <x:c r="J13" s="20" t="str">
        <x:v>https://webapi.yanoshin.jp/webapi/tdnet/list/20231212.html</x:v>
      </x:c>
    </x:row>
    <x:row r="14">
      <x:c r="A14" s="68" t="n">
        <x:v>45306.77777777778</x:v>
      </x:c>
      <x:c r="B14" s="20" t="str">
        <x:v>80700</x:v>
      </x:c>
      <x:c r="C14" s="20" t="str">
        <x:v>東京産</x:v>
      </x:c>
      <x:c r="D14" s="20" t="str">
        <x:v>Forecast withdrawn / actual difference</x:v>
      </x:c>
      <x:c r="E14" s="20" t="str">
        <x:v>特別損失の計上、2024年3月期第2四半期連結業績予想値と実績値との差異および通期連結業績予想の修正(取り下げ)に関するお知らせ</x:v>
      </x:c>
      <x:c r="F14" s="20" t="str">
        <x:v>Negative / withdrawn</x:v>
      </x:c>
      <x:c r="G14" s="56" t="str">
        <x:v>Pending</x:v>
      </x:c>
      <x:c r="H14" s="56" t="str">
        <x:v>Pending</x:v>
      </x:c>
      <x:c r="I14" s="56" t="str">
        <x:v>Pending</x:v>
      </x:c>
      <x:c r="J14" s="20" t="str">
        <x:v>https://webapi.yanoshin.jp/webapi/tdnet/list/20240115.html</x:v>
      </x:c>
    </x:row>
    <x:row r="15">
      <x:c r="A15" s="68" t="n">
        <x:v>45306.708333333336</x:v>
      </x:c>
      <x:c r="B15" s="20" t="str">
        <x:v>18870</x:v>
      </x:c>
      <x:c r="C15" s="20" t="str">
        <x:v>日本国土開発</x:v>
      </x:c>
      <x:c r="D15" s="20" t="str">
        <x:v>Forecast + dividend revision</x:v>
      </x:c>
      <x:c r="E15" s="20" t="str">
        <x:v>工事損失、法人税等調整額（益）の計上、2024年5月期 業績予想の修正、剰余金の配当（中間配当）、期末配当予想の修正、別途積立金の取り崩しに関するお知らせ</x:v>
      </x:c>
      <x:c r="F15" s="20" t="str">
        <x:v>Pending extraction</x:v>
      </x:c>
      <x:c r="G15" s="56" t="str">
        <x:v>Pending</x:v>
      </x:c>
      <x:c r="H15" s="56" t="str">
        <x:v>Pending</x:v>
      </x:c>
      <x:c r="I15" s="56" t="str">
        <x:v>Pending</x:v>
      </x:c>
      <x:c r="J15" s="20" t="str">
        <x:v>https://webapi.yanoshin.jp/webapi/tdnet/list/20240115.html</x:v>
      </x:c>
    </x:row>
    <x:row r="16">
      <x:c r="A16" s="68" t="n">
        <x:v>45672.756944444445</x:v>
      </x:c>
      <x:c r="B16" s="20" t="str">
        <x:v>81290</x:v>
      </x:c>
      <x:c r="C16" s="20" t="str">
        <x:v>東邦ＨＤ</x:v>
      </x:c>
      <x:c r="D16" s="20" t="str">
        <x:v>Forecast revision</x:v>
      </x:c>
      <x:c r="E16" s="20" t="str">
        <x:v>投資有価証券売却益（特別利益）の計上及び2025年３月期通期連結業績予想の修正に関するお知らせ</x:v>
      </x:c>
      <x:c r="F16" s="20" t="str">
        <x:v>Likely upward due special gain; verify</x:v>
      </x:c>
      <x:c r="G16" s="56" t="str">
        <x:v>Pending</x:v>
      </x:c>
      <x:c r="H16" s="56" t="str">
        <x:v>Pending</x:v>
      </x:c>
      <x:c r="I16" s="56" t="str">
        <x:v>Pending</x:v>
      </x:c>
      <x:c r="J16" s="20" t="str">
        <x:v>https://webapi.yanoshin.jp/webapi/tdnet/list/20250115.html</x:v>
      </x:c>
    </x:row>
    <x:row r="17">
      <x:c r="A17" s="68" t="n">
        <x:v>45672.708333333336</x:v>
      </x:c>
      <x:c r="B17" s="20" t="str">
        <x:v>55980</x:v>
      </x:c>
      <x:c r="C17" s="20" t="str">
        <x:v>Ｐ－Ｙｏｔｔａｖｉａ</x:v>
      </x:c>
      <x:c r="D17" s="20" t="str">
        <x:v>Forecast revision</x:v>
      </x:c>
      <x:c r="E17" s="20" t="str">
        <x:v>通期業績予想の修正に関するお知らせ</x:v>
      </x:c>
      <x:c r="F17" s="20" t="str">
        <x:v>Pending extraction</x:v>
      </x:c>
      <x:c r="G17" s="56" t="str">
        <x:v>TOKYO PRO (title prefix)</x:v>
      </x:c>
      <x:c r="H17" s="56" t="str">
        <x:v>Pending</x:v>
      </x:c>
      <x:c r="I17" s="56" t="str">
        <x:v>Pending</x:v>
      </x:c>
      <x:c r="J17" s="20" t="str">
        <x:v>https://webapi.yanoshin.jp/webapi/tdnet/list/20250115.html</x:v>
      </x:c>
    </x:row>
  </x:sheetData>
  <x:mergeCells>
    <x:mergeCell ref="A1:J1"/>
    <x:mergeCell ref="A2:J2"/>
  </x:mergeCells>
  <x:dataValidations count="3">
    <x:dataValidation type="list" sqref="G5:G17">
      <x:formula1>"Prime,Standard,Growth,TOKYO PRO,Other,Pending"</x:formula1>
    </x:dataValidation>
    <x:dataValidation type="list" sqref="H5:H17">
      <x:formula1>"Full,Summary,None,Delayed,Unknown,Pending"</x:formula1>
    </x:dataValidation>
    <x:dataValidation type="list" sqref="I5:I17">
      <x:formula1>"Yes,No,Pending"</x:formula1>
    </x:dataValidation>
  </x:dataValidations>
  <x:pageMargins left="0.7" right="0.7" top="0.75" bottom="0.75" header="0.3" footer="0.3"/>
  <x:tableParts count="1">
    <x:tablePart xmlns:r="http://schemas.openxmlformats.org/officeDocument/2006/relationships" r:id="Rb83a2f06ffc14187"/>
  </x:tableParts>
</x:worksheet>
</file>

<file path=xl/worksheets/sheet11.xml><?xml version="1.0" encoding="utf-8"?>
<x:worksheet xmlns:x="http://schemas.openxmlformats.org/spreadsheetml/2006/main">
  <x:sheetFormatPr defaultRowHeight="15"/>
  <x:cols>
    <x:col min="1" max="1" width="30" hidden="0" customWidth="1"/>
    <x:col min="2" max="2" width="58" hidden="0" customWidth="1"/>
    <x:col min="3" max="3" width="22" hidden="0" customWidth="1"/>
    <x:col min="4" max="4" width="28" hidden="0" customWidth="1"/>
  </x:cols>
  <x:sheetData>
    <x:row r="1">
      <x:c r="A1" s="15" t="str">
        <x:v>Japan Language Wall — event-level schema и treatment definition</x:v>
      </x:c>
      <x:c r="B1" s="15"/>
      <x:c r="C1" s="15"/>
      <x:c r="D1" s="15"/>
      <x:c r="E1" s="15"/>
    </x:row>
    <x:row r="2">
      <x:c r="A2" s="24" t="str">
        <x:v>Primary test нельзя сводить к Prime vs Standard. Нужны prior English behavior, actual JP/EN lag/scope, foreign ownership и matched event controls.</x:v>
      </x:c>
      <x:c r="B2" s="24"/>
      <x:c r="C2" s="24"/>
      <x:c r="D2" s="24"/>
      <x:c r="E2" s="24"/>
    </x:row>
    <x:row r="4">
      <x:c r="A4" s="6" t="str">
        <x:v>Field</x:v>
      </x:c>
      <x:c r="B4" s="6" t="str">
        <x:v>Meaning</x:v>
      </x:c>
      <x:c r="C4" s="6" t="str">
        <x:v>Type / Unit</x:v>
      </x:c>
      <x:c r="D4" s="6" t="str">
        <x:v>Role</x:v>
      </x:c>
    </x:row>
    <x:row r="5">
      <x:c r="A5" s="20" t="str">
        <x:v>event_id</x:v>
      </x:c>
      <x:c r="B5" s="20" t="str">
        <x:v>code + disclosure timestamp + event class</x:v>
      </x:c>
      <x:c r="C5" s="20" t="str">
        <x:v>Text</x:v>
      </x:c>
      <x:c r="D5" s="20" t="str">
        <x:v>Required</x:v>
      </x:c>
    </x:row>
    <x:row r="6">
      <x:c r="A6" s="20" t="str">
        <x:v>company_code</x:v>
      </x:c>
      <x:c r="B6" s="20" t="str">
        <x:v>JPX/J-Quants security code</x:v>
      </x:c>
      <x:c r="C6" s="20" t="str">
        <x:v>Text</x:v>
      </x:c>
      <x:c r="D6" s="20" t="str">
        <x:v>Required</x:v>
      </x:c>
    </x:row>
    <x:row r="7">
      <x:c r="A7" s="20" t="str">
        <x:v>market_segment</x:v>
      </x:c>
      <x:c r="B7" s="20" t="str">
        <x:v>Prime / Standard / Growth / other</x:v>
      </x:c>
      <x:c r="C7" s="20" t="str">
        <x:v>Category</x:v>
      </x:c>
      <x:c r="D7" s="20" t="str">
        <x:v>Required</x:v>
      </x:c>
    </x:row>
    <x:row r="8">
      <x:c r="A8" s="20" t="str">
        <x:v>foreign_ownership_pct</x:v>
      </x:c>
      <x:c r="B8" s="20" t="str">
        <x:v>Foreign ownership before event</x:v>
      </x:c>
      <x:c r="C8" s="20" t="str">
        <x:v>%</x:v>
      </x:c>
      <x:c r="D8" s="20" t="str">
        <x:v>Mechanism test</x:v>
      </x:c>
    </x:row>
    <x:row r="9">
      <x:c r="A9" s="20" t="str">
        <x:v>disclosure_dt_jst</x:v>
      </x:c>
      <x:c r="B9" s="20" t="str">
        <x:v>Japanese disclosure timestamp</x:v>
      </x:c>
      <x:c r="C9" s="20" t="str">
        <x:v>Datetime</x:v>
      </x:c>
      <x:c r="D9" s="20" t="str">
        <x:v>Required</x:v>
      </x:c>
    </x:row>
    <x:row r="10">
      <x:c r="A10" s="20" t="str">
        <x:v>jp_document_url</x:v>
      </x:c>
      <x:c r="B10" s="20" t="str">
        <x:v>Original document</x:v>
      </x:c>
      <x:c r="C10" s="20" t="str">
        <x:v>URL</x:v>
      </x:c>
      <x:c r="D10" s="20" t="str">
        <x:v>Required</x:v>
      </x:c>
    </x:row>
    <x:row r="11">
      <x:c r="A11" s="20" t="str">
        <x:v>en_document_url</x:v>
      </x:c>
      <x:c r="B11" s="20" t="str">
        <x:v>English document if present</x:v>
      </x:c>
      <x:c r="C11" s="20" t="str">
        <x:v>URL</x:v>
      </x:c>
      <x:c r="D11" s="20" t="str">
        <x:v>Required</x:v>
      </x:c>
    </x:row>
    <x:row r="12">
      <x:c r="A12" s="20" t="str">
        <x:v>english_disclosure_dt_jst</x:v>
      </x:c>
      <x:c r="B12" s="20" t="str">
        <x:v>English disclosure timestamp</x:v>
      </x:c>
      <x:c r="C12" s="20" t="str">
        <x:v>Datetime</x:v>
      </x:c>
      <x:c r="D12" s="20" t="str">
        <x:v>Required</x:v>
      </x:c>
    </x:row>
    <x:row r="13">
      <x:c r="A13" s="20" t="str">
        <x:v>english_scope</x:v>
      </x:c>
      <x:c r="B13" s="20" t="str">
        <x:v>Full / summary / none</x:v>
      </x:c>
      <x:c r="C13" s="20" t="str">
        <x:v>Category</x:v>
      </x:c>
      <x:c r="D13" s="20" t="str">
        <x:v>Treatment intensity</x:v>
      </x:c>
    </x:row>
    <x:row r="14">
      <x:c r="A14" s="20" t="str">
        <x:v>english_lag_minutes</x:v>
      </x:c>
      <x:c r="B14" s="20" t="str">
        <x:v>EN timestamp − JP timestamp</x:v>
      </x:c>
      <x:c r="C14" s="20" t="str">
        <x:v>Formula</x:v>
      </x:c>
      <x:c r="D14" s="20" t="str">
        <x:v>Treatment intensity</x:v>
      </x:c>
    </x:row>
    <x:row r="15">
      <x:c r="A15" s="20" t="str">
        <x:v>pre_apr2025_english_behavior</x:v>
      </x:c>
      <x:c r="B15" s="20" t="str">
        <x:v>Already simultaneous / delayed / none</x:v>
      </x:c>
      <x:c r="C15" s="20" t="str">
        <x:v>Category</x:v>
      </x:c>
      <x:c r="D15" s="20" t="str">
        <x:v>Triple-diff</x:v>
      </x:c>
    </x:row>
    <x:row r="16">
      <x:c r="A16" s="20" t="str">
        <x:v>grace_or_exception</x:v>
      </x:c>
      <x:c r="B16" s="20" t="str">
        <x:v>Grace-period / urgent exception</x:v>
      </x:c>
      <x:c r="C16" s="20" t="str">
        <x:v>Boolean/category</x:v>
      </x:c>
      <x:c r="D16" s="20" t="str">
        <x:v>Control</x:v>
      </x:c>
    </x:row>
    <x:row r="17">
      <x:c r="A17" s="20" t="str">
        <x:v>event_type</x:v>
      </x:c>
      <x:c r="B17" s="20" t="str">
        <x:v>Start with forecast revision only</x:v>
      </x:c>
      <x:c r="C17" s="20" t="str">
        <x:v>Category</x:v>
      </x:c>
      <x:c r="D17" s="20" t="str">
        <x:v>Required</x:v>
      </x:c>
    </x:row>
    <x:row r="18">
      <x:c r="A18" s="20" t="str">
        <x:v>old_revenue_guidance</x:v>
      </x:c>
      <x:c r="B18" s="20" t="str">
        <x:v>Old forecast</x:v>
      </x:c>
      <x:c r="C18" s="20" t="str">
        <x:v>JPY mm</x:v>
      </x:c>
      <x:c r="D18" s="20" t="str">
        <x:v>Required when disclosed</x:v>
      </x:c>
    </x:row>
    <x:row r="19">
      <x:c r="A19" s="20" t="str">
        <x:v>new_revenue_guidance</x:v>
      </x:c>
      <x:c r="B19" s="20" t="str">
        <x:v>New forecast</x:v>
      </x:c>
      <x:c r="C19" s="20" t="str">
        <x:v>JPY mm</x:v>
      </x:c>
      <x:c r="D19" s="20" t="str">
        <x:v>Required when disclosed</x:v>
      </x:c>
    </x:row>
    <x:row r="20">
      <x:c r="A20" s="20" t="str">
        <x:v>old_operating_profit</x:v>
      </x:c>
      <x:c r="B20" s="20" t="str">
        <x:v>Old forecast</x:v>
      </x:c>
      <x:c r="C20" s="20" t="str">
        <x:v>JPY mm</x:v>
      </x:c>
      <x:c r="D20" s="20" t="str">
        <x:v>Required when disclosed</x:v>
      </x:c>
    </x:row>
    <x:row r="21">
      <x:c r="A21" s="20" t="str">
        <x:v>new_operating_profit</x:v>
      </x:c>
      <x:c r="B21" s="20" t="str">
        <x:v>New forecast</x:v>
      </x:c>
      <x:c r="C21" s="20" t="str">
        <x:v>JPY mm</x:v>
      </x:c>
      <x:c r="D21" s="20" t="str">
        <x:v>Required when disclosed</x:v>
      </x:c>
    </x:row>
    <x:row r="22">
      <x:c r="A22" s="20" t="str">
        <x:v>old_net_income</x:v>
      </x:c>
      <x:c r="B22" s="20" t="str">
        <x:v>Old forecast</x:v>
      </x:c>
      <x:c r="C22" s="20" t="str">
        <x:v>JPY mm</x:v>
      </x:c>
      <x:c r="D22" s="20" t="str">
        <x:v>Required when disclosed</x:v>
      </x:c>
    </x:row>
    <x:row r="23">
      <x:c r="A23" s="20" t="str">
        <x:v>new_net_income</x:v>
      </x:c>
      <x:c r="B23" s="20" t="str">
        <x:v>New forecast</x:v>
      </x:c>
      <x:c r="C23" s="20" t="str">
        <x:v>JPY mm</x:v>
      </x:c>
      <x:c r="D23" s="20" t="str">
        <x:v>Required when disclosed</x:v>
      </x:c>
    </x:row>
    <x:row r="24">
      <x:c r="A24" s="20" t="str">
        <x:v>revision_pct</x:v>
      </x:c>
      <x:c r="B24" s="20" t="str">
        <x:v>(new−old)/abs(old)</x:v>
      </x:c>
      <x:c r="C24" s="20" t="str">
        <x:v>Formula</x:v>
      </x:c>
      <x:c r="D24" s="20" t="str">
        <x:v>Primary event magnitude</x:v>
      </x:c>
    </x:row>
    <x:row r="25">
      <x:c r="A25" s="20" t="str">
        <x:v>event_session</x:v>
      </x:c>
      <x:c r="B25" s="20" t="str">
        <x:v>Before open / intraday / after close</x:v>
      </x:c>
      <x:c r="C25" s="20" t="str">
        <x:v>Category</x:v>
      </x:c>
      <x:c r="D25" s="20" t="str">
        <x:v>Required</x:v>
      </x:c>
    </x:row>
    <x:row r="26">
      <x:c r="A26" s="20" t="str">
        <x:v>price_t0</x:v>
      </x:c>
      <x:c r="B26" s="20" t="str">
        <x:v>First tradable close/open per preregistration</x:v>
      </x:c>
      <x:c r="C26" s="20" t="str">
        <x:v>JPY</x:v>
      </x:c>
      <x:c r="D26" s="20" t="str">
        <x:v>Required</x:v>
      </x:c>
    </x:row>
    <x:row r="27">
      <x:c r="A27" s="20" t="str">
        <x:v>ret_t1 / t3 / t5 / t10</x:v>
      </x:c>
      <x:c r="B27" s="20" t="str">
        <x:v>Daily abnormal returns</x:v>
      </x:c>
      <x:c r="C27" s="20" t="str">
        <x:v>%</x:v>
      </x:c>
      <x:c r="D27" s="20" t="str">
        <x:v>Primary outcome</x:v>
      </x:c>
    </x:row>
    <x:row r="28">
      <x:c r="A28" s="20" t="str">
        <x:v>matched_control_id</x:v>
      </x:c>
      <x:c r="B28" s="20" t="str">
        <x:v>Matched firm/event</x:v>
      </x:c>
      <x:c r="C28" s="20" t="str">
        <x:v>Text</x:v>
      </x:c>
      <x:c r="D28" s="20" t="str">
        <x:v>Control</x:v>
      </x:c>
    </x:row>
    <x:row r="29">
      <x:c r="A29" s="20" t="str">
        <x:v>size / liquidity / coverage</x:v>
      </x:c>
      <x:c r="B29" s="20" t="str">
        <x:v>Confounders</x:v>
      </x:c>
      <x:c r="C29" s="20" t="str">
        <x:v>Numeric</x:v>
      </x:c>
      <x:c r="D29" s="20" t="str">
        <x:v>Control</x:v>
      </x:c>
    </x:row>
    <x:row r="30">
      <x:c r="A30" s="20" t="str">
        <x:v>source_archive</x:v>
      </x:c>
      <x:c r="B30" s="20" t="str">
        <x:v>Yanoshin / official / paid</x:v>
      </x:c>
      <x:c r="C30" s="20" t="str">
        <x:v>Category</x:v>
      </x:c>
      <x:c r="D30" s="20" t="str">
        <x:v>Data lineage</x:v>
      </x:c>
    </x:row>
    <x:row r="31">
      <x:c r="A31" s="20" t="str">
        <x:v>evidence_hash</x:v>
      </x:c>
      <x:c r="B31" s="20" t="str">
        <x:v>Hash of raw docs and extraction</x:v>
      </x:c>
      <x:c r="C31" s="20" t="str">
        <x:v>Text</x:v>
      </x:c>
      <x:c r="D31" s="20" t="str">
        <x:v>Reproducibility</x:v>
      </x:c>
    </x:row>
  </x:sheetData>
  <x:mergeCells>
    <x:mergeCell ref="A1:E1"/>
    <x:mergeCell ref="A2:E2"/>
  </x:mergeCells>
  <x:pageMargins left="0.7" right="0.7" top="0.75" bottom="0.75" header="0.3" footer="0.3"/>
  <x:tableParts count="1">
    <x:tablePart xmlns:r="http://schemas.openxmlformats.org/officeDocument/2006/relationships" r:id="Rc0ab565211914748"/>
  </x:tableParts>
</x:worksheet>
</file>

<file path=xl/worksheets/sheet12.xml><?xml version="1.0" encoding="utf-8"?>
<x:worksheet xmlns:x="http://schemas.openxmlformats.org/spreadsheetml/2006/main">
  <x:sheetFormatPr defaultRowHeight="15"/>
  <x:cols>
    <x:col min="1" max="1" width="28" hidden="0" customWidth="1"/>
    <x:col min="2" max="2" width="16" hidden="0" customWidth="1"/>
    <x:col min="3" max="3" width="18" hidden="0" customWidth="1"/>
    <x:col min="4" max="4" width="52" hidden="0" customWidth="1"/>
    <x:col min="5" max="5" width="55" hidden="0" customWidth="1"/>
  </x:cols>
  <x:sheetData>
    <x:row r="1">
      <x:c r="A1" s="15" t="str">
        <x:v>Источники и ограничения данных — День 1</x:v>
      </x:c>
      <x:c r="B1" s="15"/>
      <x:c r="C1" s="15"/>
      <x:c r="D1" s="15"/>
      <x:c r="E1" s="15"/>
    </x:row>
    <x:row r="3">
      <x:c r="A3" s="6" t="str">
        <x:v>Источник</x:v>
      </x:c>
      <x:c r="B3" s="6" t="str">
        <x:v>Статус</x:v>
      </x:c>
      <x:c r="C3" s="6" t="str">
        <x:v>Трек</x:v>
      </x:c>
      <x:c r="D3" s="6" t="str">
        <x:v>Что подтверждает</x:v>
      </x:c>
      <x:c r="E3" s="6" t="str">
        <x:v>URL</x:v>
      </x:c>
    </x:row>
    <x:row r="4">
      <x:c r="A4" s="20" t="str">
        <x:v>SEC BDC Data Sets</x:v>
      </x:c>
      <x:c r="B4" s="20" t="str">
        <x:v>Official</x:v>
      </x:c>
      <x:c r="C4" s="20" t="str">
        <x:v>BDC/XBRL</x:v>
      </x:c>
      <x:c r="D4" s="20" t="str">
        <x:v>Oct 2022–Jul 2026; monthly flat files incl. Schedule of Investments</x:v>
      </x:c>
      <x:c r="E4" s="20" t="str">
        <x:v>https://www.sec.gov/data-research/sec-markets-data/bdc-data-sets</x:v>
      </x:c>
    </x:row>
    <x:row r="5">
      <x:c r="A5" s="20" t="str">
        <x:v>SEC BDC Readme</x:v>
      </x:c>
      <x:c r="B5" s="20" t="str">
        <x:v>Official</x:v>
      </x:c>
      <x:c r="C5" s="20" t="str">
        <x:v>BDC schema</x:v>
      </x:c>
      <x:c r="D5" s="20" t="str">
        <x:v>SOI fields, accession, CIK, period, interest rate, spread, maturity, principal, cost, fair value</x:v>
      </x:c>
      <x:c r="E5" s="20" t="str">
        <x:v>https://www.sec.gov/files/bdc_readme.pdf</x:v>
      </x:c>
    </x:row>
    <x:row r="6">
      <x:c r="A6" s="20" t="str">
        <x:v>SEC BDC Report</x:v>
      </x:c>
      <x:c r="B6" s="20" t="str">
        <x:v>Official</x:v>
      </x:c>
      <x:c r="C6" s="20" t="str">
        <x:v>BDC universe</x:v>
      </x:c>
      <x:c r="D6" s="20" t="str">
        <x:v>Active/registered BDC CIK list</x:v>
      </x:c>
      <x:c r="E6" s="20" t="str">
        <x:v>https://www.sec.gov/data-research/sec-markets-data/opendatasetsshtmlbdc</x:v>
      </x:c>
    </x:row>
    <x:row r="7">
      <x:c r="A7" s="20" t="str">
        <x:v>SEC EDGAR full-index</x:v>
      </x:c>
      <x:c r="B7" s="20" t="str">
        <x:v>Official</x:v>
      </x:c>
      <x:c r="C7" s="20" t="str">
        <x:v>Filing chronology</x:v>
      </x:c>
      <x:c r="D7" s="20" t="str">
        <x:v>Quarterly master indices used for date-level filing calendar</x:v>
      </x:c>
      <x:c r="E7" s="20" t="str">
        <x:v>https://www.sec.gov/Archives/edgar/full-index/</x:v>
      </x:c>
    </x:row>
    <x:row r="8">
      <x:c r="A8" s="20" t="str">
        <x:v>JPX English disclosure via TDnet</x:v>
      </x:c>
      <x:c r="B8" s="20" t="str">
        <x:v>Official</x:v>
      </x:c>
      <x:c r="C8" s="20" t="str">
        <x:v>Japan rule</x:v>
      </x:c>
      <x:c r="D8" s="20" t="str">
        <x:v>Prime Market mandatory simultaneous Japanese/English disclosure from Apr 2025</x:v>
      </x:c>
      <x:c r="E8" s="20" t="str">
        <x:v>https://www.jpx.co.jp/english/equities/listed-co/disclosure-gate/service/</x:v>
      </x:c>
    </x:row>
    <x:row r="9">
      <x:c r="A9" s="20" t="str">
        <x:v>JPX mandatory English disclosure status</x:v>
      </x:c>
      <x:c r="B9" s="20" t="str">
        <x:v>Official</x:v>
      </x:c>
      <x:c r="C9" s="20" t="str">
        <x:v>Japan compliance</x:v>
      </x:c>
      <x:c r="D9" s="20" t="str">
        <x:v>Over 90% compliance; grace periods and partial/summary disclosure remain</x:v>
      </x:c>
      <x:c r="E9" s="20" t="str">
        <x:v>https://www.jpx.co.jp/english/equities/follow-up/b5b4pj000004yqcc-att/sjcobq0000024jy9.pdf</x:v>
      </x:c>
    </x:row>
    <x:row r="10">
      <x:c r="A10" s="20" t="str">
        <x:v>JPX TDnet API service</x:v>
      </x:c>
      <x:c r="B10" s="20" t="str">
        <x:v>Official / paid</x:v>
      </x:c>
      <x:c r="C10" s="20" t="str">
        <x:v>Japan archive</x:v>
      </x:c>
      <x:c r="D10" s="20" t="str">
        <x:v>Past five years available to subscribers</x:v>
      </x:c>
      <x:c r="E10" s="20" t="str">
        <x:v>https://www.jpx.co.jp/english/markets/paid-info-listing/tdnet/02.html</x:v>
      </x:c>
    </x:row>
    <x:row r="11">
      <x:c r="A11" s="20" t="str">
        <x:v>Yanoshin TDnet Web API</x:v>
      </x:c>
      <x:c r="B11" s="20" t="str">
        <x:v>Unofficial</x:v>
      </x:c>
      <x:c r="C11" s="20" t="str">
        <x:v>Japan archive</x:v>
      </x:c>
      <x:c r="D11" s="20" t="str">
        <x:v>Historical date pages tested back to Dec 2023; durability/licensing must be checked</x:v>
      </x:c>
      <x:c r="E11" s="20" t="str">
        <x:v>https://webapi.yanoshin.jp/tdnet/</x:v>
      </x:c>
    </x:row>
    <x:row r="12">
      <x:c r="A12" s="20" t="str">
        <x:v>J-Quants plans</x:v>
      </x:c>
      <x:c r="B12" s="20" t="str">
        <x:v>Official</x:v>
      </x:c>
      <x:c r="C12" s="20" t="str">
        <x:v>Japan prices</x:v>
      </x:c>
      <x:c r="D12" s="20" t="str">
        <x:v>Free daily OHLC; 2 years excluding latest 12 weeks; 5 calls/min</x:v>
      </x:c>
      <x:c r="E12" s="20" t="str">
        <x:v>https://jpx-jquants.com/en</x:v>
      </x:c>
    </x:row>
    <x:row r="13">
      <x:c r="A13" s="20" t="str">
        <x:v>J-Quants TDnet add-on</x:v>
      </x:c>
      <x:c r="B13" s="20" t="str">
        <x:v>Official team article / paid</x:v>
      </x:c>
      <x:c r="C13" s="20" t="str">
        <x:v>Japan disclosure</x:v>
      </x:c>
      <x:c r="D13" s="20" t="str">
        <x:v>Past five years + documents/XBRL, same-day delivery; paid add-on</x:v>
      </x:c>
      <x:c r="E13" s="20" t="str">
        <x:v>https://qiita.com/j_quants/items/7f59b0e9e34d023d0cc6</x:v>
      </x:c>
    </x:row>
  </x:sheetData>
  <x:mergeCells>
    <x:mergeCell ref="A1:E1"/>
  </x:mergeCells>
  <x:pageMargins left="0.7" right="0.7" top="0.75" bottom="0.75" header="0.3" footer="0.3"/>
  <x:tableParts count="1">
    <x:tablePart xmlns:r="http://schemas.openxmlformats.org/officeDocument/2006/relationships" r:id="Re54ce70594034af3"/>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6" t="str">
        <x:v>Status</x:v>
      </x:c>
      <x:c r="B1" s="6" t="str">
        <x:v>Owner</x:v>
      </x:c>
      <x:c r="C1" s="6" t="str">
        <x:v>Track</x:v>
      </x:c>
      <x:c r="D1" s="6" t="str">
        <x:v>YesNo</x:v>
      </x:c>
      <x:c r="E1" s="6" t="str">
        <x:v>Confidence</x:v>
      </x:c>
      <x:c r="F1" s="6" t="str">
        <x:v>EnglishScope</x:v>
      </x:c>
    </x:row>
    <x:row r="2">
      <x:c r="A2" t="str">
        <x:v>Not Started</x:v>
      </x:c>
      <x:c r="B2" t="str">
        <x:v>Assistant</x:v>
      </x:c>
      <x:c r="C2" t="str">
        <x:v>ShadowNAV</x:v>
      </x:c>
      <x:c r="D2" t="str">
        <x:v>Да</x:v>
      </x:c>
      <x:c r="E2" t="str">
        <x:v>High</x:v>
      </x:c>
      <x:c r="F2" t="str">
        <x:v>Full</x:v>
      </x:c>
    </x:row>
    <x:row r="3">
      <x:c r="A3" t="str">
        <x:v>In Progress</x:v>
      </x:c>
      <x:c r="B3" t="str">
        <x:v>User</x:v>
      </x:c>
      <x:c r="C3" t="str">
        <x:v>Japan</x:v>
      </x:c>
      <x:c r="D3" t="str">
        <x:v>Нет</x:v>
      </x:c>
      <x:c r="E3" t="str">
        <x:v>Medium</x:v>
      </x:c>
      <x:c r="F3" t="str">
        <x:v>Summary</x:v>
      </x:c>
    </x:row>
    <x:row r="4">
      <x:c r="A4" t="str">
        <x:v>Done</x:v>
      </x:c>
      <x:c r="B4" t="str">
        <x:v>Friend</x:v>
      </x:c>
      <x:c r="C4" t="str">
        <x:v>Both</x:v>
      </x:c>
      <x:c r="D4" t="str">
        <x:v>Частично</x:v>
      </x:c>
      <x:c r="E4" t="str">
        <x:v>Low</x:v>
      </x:c>
      <x:c r="F4" t="str">
        <x:v>None</x:v>
      </x:c>
    </x:row>
    <x:row r="5">
      <x:c r="A5" t="str">
        <x:v>Blocked</x:v>
      </x:c>
      <x:c r="B5" t="str">
        <x:v>Both</x:v>
      </x:c>
      <x:c r="C5" t="str"/>
      <x:c r="D5" t="str">
        <x:v>Pending</x:v>
      </x:c>
      <x:c r="E5" t="str"/>
      <x:c r="F5" t="str">
        <x:v>Unknown</x:v>
      </x:c>
    </x:row>
    <x:row r="6">
      <x:c r="A6" t="str">
        <x:v>Needs Review</x:v>
      </x:c>
      <x:c r="B6" t="str"/>
      <x:c r="C6" t="str"/>
      <x:c r="D6" t="str"/>
      <x:c r="E6" t="str"/>
      <x:c r="F6" t="str"/>
    </x:row>
    <x:row r="7">
      <x:c r="A7" t="str">
        <x:v>Killed</x:v>
      </x:c>
      <x:c r="B7" t="str"/>
      <x:c r="C7" t="str"/>
      <x:c r="D7" t="str"/>
      <x:c r="E7" t="str"/>
      <x:c r="F7" t="str"/>
    </x:row>
    <x:row r="8">
      <x:c r="A8" t="str"/>
      <x:c r="B8" t="str"/>
      <x:c r="C8" t="str"/>
      <x:c r="D8" t="str"/>
      <x:c r="E8" t="str"/>
      <x:c r="F8" t="str"/>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5" hidden="0" customWidth="1"/>
    <x:col min="3" max="3" width="23" hidden="0" customWidth="1"/>
    <x:col min="4" max="4" width="52" hidden="0" customWidth="1"/>
    <x:col min="5" max="5" width="12" hidden="0" customWidth="1"/>
    <x:col min="6" max="6" width="35" hidden="0" customWidth="1"/>
    <x:col min="7" max="7" width="42" hidden="0" customWidth="1"/>
    <x:col min="8" max="8" width="24" hidden="0" customWidth="1"/>
  </x:cols>
  <x:sheetData>
    <x:row r="1" ht="28" customHeight="1">
      <x:c r="A1" s="128" t="str">
        <x:v>DAY 1 RECONCILIATION — CANONICAL STATUS BEFORE GIT PUSH</x:v>
      </x:c>
      <x:c r="B1" s="128"/>
      <x:c r="C1" s="128"/>
      <x:c r="D1" s="128"/>
      <x:c r="E1" s="128"/>
      <x:c r="F1" s="128"/>
      <x:c r="G1" s="128"/>
      <x:c r="H1" s="128"/>
    </x:row>
    <x:row r="2" ht="28" customHeight="1">
      <x:c r="A2" s="131" t="str">
        <x:v>This sheet reconciles the assistant workbook, Codex scripts/results, and Claude review. It supersedes conflicting Day 1 statements elsewhere.</x:v>
      </x:c>
      <x:c r="B2" s="131"/>
      <x:c r="C2" s="131"/>
      <x:c r="D2" s="131"/>
      <x:c r="E2" s="131"/>
      <x:c r="F2" s="131"/>
      <x:c r="G2" s="131"/>
      <x:c r="H2" s="131"/>
    </x:row>
    <x:row r="4">
      <x:c r="A4" s="137" t="str">
        <x:v>Track</x:v>
      </x:c>
      <x:c r="B4" s="138" t="str">
        <x:v>Claim / metric</x:v>
      </x:c>
      <x:c r="C4" s="138" t="str">
        <x:v>Canonical status</x:v>
      </x:c>
      <x:c r="D4" s="138" t="str">
        <x:v>Value / finding</x:v>
      </x:c>
      <x:c r="E4" s="138" t="str">
        <x:v>Confidence</x:v>
      </x:c>
      <x:c r="F4" s="138" t="str">
        <x:v>Do not infer</x:v>
      </x:c>
      <x:c r="G4" s="138" t="str">
        <x:v>Next evidence needed</x:v>
      </x:c>
      <x:c r="H4" s="139" t="str">
        <x:v>Source / owner</x:v>
      </x:c>
    </x:row>
    <x:row r="5" ht="54" customHeight="1">
      <x:c r="A5" s="140" t="str">
        <x:v>ShadowNAV</x:v>
      </x:c>
      <x:c r="B5" s="141" t="str">
        <x:v>Reporting-order windows exist</x:v>
      </x:c>
      <x:c r="C5" s="141" t="str">
        <x:v>Confirmed after removing obvious scheduling 8-K artifacts</x:v>
      </x:c>
      <x:c r="D5" s="141" t="str">
        <x:v>Assistant cleaned tracker: 295 structural source→listed windows ≥3 days over 4 quarters / 20 entities. Exact facility overlap not tested.</x:v>
      </x:c>
      <x:c r="E5" s="141" t="str">
        <x:v>Medium</x:v>
      </x:c>
      <x:c r="F5" s="141" t="str">
        <x:v>This is not 295 trades and not proof of alpha.</x:v>
      </x:c>
      <x:c r="G5" s="141" t="str">
        <x:v>Verify every first RESULTS/NAV timestamp and exact same facilities.</x:v>
      </x:c>
      <x:c r="H5" s="142" t="str">
        <x:v>Workbook + Claude review</x:v>
      </x:c>
    </x:row>
    <x:row r="6" ht="54" customHeight="1">
      <x:c r="A6" s="140" t="str">
        <x:v>ShadowNAV</x:v>
      </x:c>
      <x:c r="B6" s="141" t="str">
        <x:v>Codex 525-pair / 407 windows summary</x:v>
      </x:c>
      <x:c r="C6" s="141" t="str">
        <x:v>Superseded / contaminated</x:v>
      </x:c>
      <x:c r="D6" s="141" t="str">
        <x:v>OBDC 2025Q2 07-01 and GBDC 2025Q2 07-07 were schedule announcements, not results; related counts are inflated.</x:v>
      </x:c>
      <x:c r="E6" s="141" t="str">
        <x:v>High</x:v>
      </x:c>
      <x:c r="F6" s="141" t="str">
        <x:v>Do not cite 407 as a clean opportunity count.</x:v>
      </x:c>
      <x:c r="G6" s="141" t="str">
        <x:v>Regenerate reporting_order.csv using first results/NAV disclosure only.</x:v>
      </x:c>
      <x:c r="H6" s="142" t="str">
        <x:v>Claude cross-validation</x:v>
      </x:c>
    </x:row>
    <x:row r="7" ht="54" customHeight="1">
      <x:c r="A7" s="140" t="str">
        <x:v>ShadowNAV</x:v>
      </x:c>
      <x:c r="B7" s="141" t="str">
        <x:v>Median window</x:v>
      </x:c>
      <x:c r="C7" s="141" t="str">
        <x:v>Not yet canonical</x:v>
      </x:c>
      <x:c r="D7" s="141" t="str">
        <x:v>Codex reported 13.3 days before correction; cleaned distribution must be recomputed from verified results timestamps.</x:v>
      </x:c>
      <x:c r="E7" s="141" t="str">
        <x:v>Low</x:v>
      </x:c>
      <x:c r="F7" s="141" t="str">
        <x:v>Do not cite 13.3 days in pitch yet.</x:v>
      </x:c>
      <x:c r="G7" s="141" t="str">
        <x:v>Recompute p25/median/p75 after date classification and acceptance timestamps.</x:v>
      </x:c>
      <x:c r="H7" s="142" t="str">
        <x:v>Codex local scripts</x:v>
      </x:c>
    </x:row>
    <x:row r="8" ht="54" customHeight="1">
      <x:c r="A8" s="140" t="str">
        <x:v>ShadowNAV</x:v>
      </x:c>
      <x:c r="B8" s="141" t="str">
        <x:v>Non-traded BDCs as early sensors</x:v>
      </x:c>
      <x:c r="C8" s="141" t="str">
        <x:v>Mostly refuted</x:v>
      </x:c>
      <x:c r="D8" s="141" t="str">
        <x:v>Codex: all 20 non-traded observations were later than median listed fund; median delay ~9 days; 17/20 after ≥14 of 15 listed. Niche non-traded→very-late-listed windows may remain.</x:v>
      </x:c>
      <x:c r="E8" s="141" t="str">
        <x:v>High</x:v>
      </x:c>
      <x:c r="F8" s="141" t="str">
        <x:v>Do not build the core story around non-traded-first.</x:v>
      </x:c>
      <x:c r="G8" s="141" t="str">
        <x:v>Test specific surviving windows only after facility matching.</x:v>
      </x:c>
      <x:c r="H8" s="142" t="str">
        <x:v>Codex + Claude review</x:v>
      </x:c>
    </x:row>
    <x:row r="9" ht="54" customHeight="1">
      <x:c r="A9" s="140" t="str">
        <x:v>ShadowNAV</x:v>
      </x:c>
      <x:c r="B9" s="141" t="str">
        <x:v>Exact same facilities</x:v>
      </x:c>
      <x:c r="C9" s="141" t="str">
        <x:v>Open / fatal gate</x:v>
      </x:c>
      <x:c r="D9" s="141" t="str">
        <x:v>No canonical count yet. Same borrower is not enough; lien/type/rate/maturity/currency must match.</x:v>
      </x:c>
      <x:c r="E9" s="141" t="str">
        <x:v>Open</x:v>
      </x:c>
      <x:c r="F9" s="141" t="str">
        <x:v>No ShadowNAV claim until this passes.</x:v>
      </x:c>
      <x:c r="G9" s="141" t="str">
        <x:v>Day 2 manual SOI review on random/defined source-target pairs.</x:v>
      </x:c>
      <x:c r="H9" s="142" t="str">
        <x:v>Day 2</x:v>
      </x:c>
    </x:row>
    <x:row r="10" ht="54" customHeight="1">
      <x:c r="A10" s="140" t="str">
        <x:v>ShadowNAV</x:v>
      </x:c>
      <x:c r="B10" s="141" t="str">
        <x:v>Primary outcome</x:v>
      </x:c>
      <x:c r="C10" s="141" t="str">
        <x:v>Frozen design</x:v>
      </x:c>
      <x:c r="D10" s="141" t="str">
        <x:v>Predict later-reporter's still-unpublished same-quarter FV/par; secondary PIK/non-accrual; equity is tertiary relative-value test.</x:v>
      </x:c>
      <x:c r="E10" s="141" t="str">
        <x:v>High</x:v>
      </x:c>
      <x:c r="F10" s="141" t="str">
        <x:v>Do not start with stock returns.</x:v>
      </x:c>
      <x:c r="G10" s="141" t="str">
        <x:v>Freeze random sample before seeing target outcomes; compare against unchanged and co-holder median baselines.</x:v>
      </x:c>
      <x:c r="H10" s="142" t="str">
        <x:v>Preregistration</x:v>
      </x:c>
    </x:row>
    <x:row r="11" ht="54" customHeight="1">
      <x:c r="A11" s="140" t="str">
        <x:v>Japan</x:v>
      </x:c>
      <x:c r="B11" s="141" t="str">
        <x:v>Historical Yanoshin index</x:v>
      </x:c>
      <x:c r="C11" s="141" t="str">
        <x:v>Confirmed</x:v>
      </x:c>
      <x:c r="D11" s="141" t="str">
        <x:v>With limit=10000, tested monthly ranges return ~4,027–6,216 items; forecast-revision title matches ~229–313/month.</x:v>
      </x:c>
      <x:c r="E11" s="141" t="str">
        <x:v>High</x:v>
      </x:c>
      <x:c r="F11" s="141" t="str">
        <x:v>Index availability does not imply document availability or complete archive.</x:v>
      </x:c>
      <x:c r="G11" s="141" t="str">
        <x:v>Save raw API responses and test continuity/rate/ToS.</x:v>
      </x:c>
      <x:c r="H11" s="142" t="str">
        <x:v>Codex local script</x:v>
      </x:c>
    </x:row>
    <x:row r="12" ht="54" customHeight="1">
      <x:c r="A12" s="140" t="str">
        <x:v>Japan</x:v>
      </x:c>
      <x:c r="B12" s="141" t="str">
        <x:v>Old PDF/XBRL documents</x:v>
      </x:c>
      <x:c r="C12" s="141" t="str">
        <x:v>Failed for tested links</x:v>
      </x:c>
      <x:c r="D12" s="141" t="str">
        <x:v>All tested old document_url and url_xbrl links after redirect returned 404.</x:v>
      </x:c>
      <x:c r="E12" s="141" t="str">
        <x:v>High</x:v>
      </x:c>
      <x:c r="F12" s="141" t="str">
        <x:v>Do not write 'historical documents available'.</x:v>
      </x:c>
      <x:c r="G12" s="141" t="str">
        <x:v>Recover old/new forecast numbers via issuer IR, J-Quants statements, alternative mirrors/archives.</x:v>
      </x:c>
      <x:c r="H12" s="142" t="str">
        <x:v>Codex link test</x:v>
      </x:c>
    </x:row>
    <x:row r="13" ht="54" customHeight="1">
      <x:c r="A13" s="140" t="str">
        <x:v>Japan</x:v>
      </x:c>
      <x:c r="B13" s="141" t="str">
        <x:v>Daily price data</x:v>
      </x:c>
      <x:c r="C13" s="141" t="str">
        <x:v>Known constraint</x:v>
      </x:c>
      <x:c r="D13" s="141" t="str">
        <x:v>J-Quants Free has 12-week delay; historical daily T+1…T+10 tests are possible on older events, not fresh events.</x:v>
      </x:c>
      <x:c r="E13" s="141" t="str">
        <x:v>High</x:v>
      </x:c>
      <x:c r="F13" s="141" t="str">
        <x:v>Cannot test intraday language delay for free.</x:v>
      </x:c>
      <x:c r="G13" s="141" t="str">
        <x:v>Use events older than delay and document event-time convention.</x:v>
      </x:c>
      <x:c r="H13" s="142" t="str">
        <x:v>Reference docs</x:v>
      </x:c>
    </x:row>
    <x:row r="14" ht="54" customHeight="1">
      <x:c r="A14" s="140" t="str">
        <x:v>Japan</x:v>
      </x:c>
      <x:c r="B14" s="141" t="str">
        <x:v>Primary event class</x:v>
      </x:c>
      <x:c r="C14" s="141" t="str">
        <x:v>Frozen design</x:v>
      </x:c>
      <x:c r="D14" s="141" t="str">
        <x:v>Only earnings forecast revisions for first test; old/new numbers are ground truth. No buyback/M&amp;A/value-up zoo yet.</x:v>
      </x:c>
      <x:c r="E14" s="141" t="str">
        <x:v>High</x:v>
      </x:c>
      <x:c r="F14" s="141" t="str">
        <x:v>Titles alone are insufficient.</x:v>
      </x:c>
      <x:c r="G14" s="141" t="str">
        <x:v>Recover numeric old/new forecasts and JP/EN treatment fields for 30–50 events.</x:v>
      </x:c>
      <x:c r="H14" s="142" t="str">
        <x:v>Preregistration</x:v>
      </x:c>
    </x:row>
    <x:row r="15" ht="54" customHeight="1">
      <x:c r="A15" s="140" t="str">
        <x:v>Selection</x:v>
      </x:c>
      <x:c r="B15" s="141" t="str">
        <x:v>Flagship decision</x:v>
      </x:c>
      <x:c r="C15" s="141" t="str">
        <x:v>Not made</x:v>
      </x:c>
      <x:c r="D15" s="141" t="str">
        <x:v>Both candidates remain alive. Day 2 bottlenecks: exact facilities/mark nowcasts vs recoverable Japanese numeric revisions.</x:v>
      </x:c>
      <x:c r="E15" s="141" t="str">
        <x:v>High</x:v>
      </x:c>
      <x:c r="F15" s="141" t="str">
        <x:v>Do not treat dashboard scores 89/82 or pre-data priors as decision.</x:v>
      </x:c>
      <x:c r="G15" s="141" t="str">
        <x:v>Update decision matrix only after evidence.</x:v>
      </x:c>
      <x:c r="H15" s="142" t="str">
        <x:v>Showdown rule</x:v>
      </x:c>
    </x:row>
    <x:row r="16" ht="54" customHeight="1">
      <x:c r="A16" s="143" t="str">
        <x:v>Process</x:v>
      </x:c>
      <x:c r="B16" s="144" t="str">
        <x:v>Code to commit</x:v>
      </x:c>
      <x:c r="C16" s="144" t="str">
        <x:v>Prefer latest local Codex outputs</x:v>
      </x:c>
      <x:c r="D16" s="144" t="str">
        <x:v>Latest day1_japan_archive_check.py, day1_bdc_reporting_order.py, find_nontraded_ciks.py and reporting_order.csv exist locally and supersede older archive scripts.</x:v>
      </x:c>
      <x:c r="E16" s="144" t="str">
        <x:v>High</x:v>
      </x:c>
      <x:c r="F16" s="144" t="str">
        <x:v>Do not overwrite them with older Claude ZIP scripts.</x:v>
      </x:c>
      <x:c r="G16" s="144" t="str">
        <x:v>Codex must inspect git diff and retain newer local versions.</x:v>
      </x:c>
      <x:c r="H16" s="145" t="str">
        <x:v>User/Codex</x:v>
      </x:c>
    </x:row>
  </x:sheetData>
  <x:mergeCells>
    <x:mergeCell ref="A1:H1"/>
    <x:mergeCell ref="A2:H2"/>
  </x:mergeCells>
  <x:conditionalFormatting sqref="C5:C16">
    <x:cfRule type="expression" dxfId="9" priority="1">
      <x:formula>OR(ISNUMBER(SEARCH("Confirmed",C5)),ISNUMBER(SEARCH("Frozen",C5)))</x:formula>
    </x:cfRule>
    <x:cfRule type="expression" dxfId="10" priority="2">
      <x:formula>OR(ISNUMBER(SEARCH("Failed",C5)),ISNUMBER(SEARCH("Superseded",C5)),ISNUMBER(SEARCH("refuted",C5)))</x:formula>
    </x:cfRule>
    <x:cfRule type="expression" dxfId="11" priority="3">
      <x:formula>OR(ISNUMBER(SEARCH("Open",C5)),ISNUMBER(SEARCH("Not yet",C5)),ISNUMBER(SEARCH("Not made",C5)))</x:formula>
    </x:cfRule>
  </x:conditionalFormatting>
  <x:pageMargins left="0.7" right="0.7" top="0.75" bottom="0.75" header="0.3" footer="0.3"/>
</x:worksheet>
</file>